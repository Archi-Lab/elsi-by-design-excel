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DieseArbeitsmappe" defaultThemeVersion="164011"/>
  <bookViews>
    <workbookView xWindow="0" yWindow="0" windowWidth="22260" windowHeight="12648" tabRatio="825" activeTab="2"/>
  </bookViews>
  <sheets>
    <sheet name="Stakeholders" sheetId="1" r:id="rId1"/>
    <sheet name="Goals &amp; Risks" sheetId="4" r:id="rId2"/>
    <sheet name="Requirements" sheetId="10" r:id="rId3"/>
    <sheet name="Dashboard" sheetId="19" r:id="rId4"/>
    <sheet name="Epics" sheetId="15" r:id="rId5"/>
    <sheet name="Who does what" sheetId="14" r:id="rId6"/>
    <sheet name="_Dimensions" sheetId="13" r:id="rId7"/>
    <sheet name="_Effects" sheetId="7" r:id="rId8"/>
    <sheet name="_Scenarios" sheetId="5" r:id="rId9"/>
    <sheet name="_Domains" sheetId="16" r:id="rId10"/>
    <sheet name="_GRREQ" sheetId="12" r:id="rId11"/>
    <sheet name="_Param" sheetId="6" r:id="rId12"/>
  </sheets>
  <functionGroups builtInGroupCount="18"/>
  <definedNames>
    <definedName name="_xlnm._FilterDatabase" localSheetId="1" hidden="1">'Goals &amp; Risks'!$A$1:$H$170</definedName>
    <definedName name="_xlnm._FilterDatabase" localSheetId="2" hidden="1">Requirements!$D$6:$D$110</definedName>
    <definedName name="_xlnm._FilterDatabase" localSheetId="0" hidden="1">Stakeholders!$A$8:$B$19</definedName>
    <definedName name="_xlnm._FilterDatabase" localSheetId="5" hidden="1">'Who does what'!$A$2:$G$13</definedName>
    <definedName name="_GRREQ">_GRREQ!$C$2:$BZ$300</definedName>
    <definedName name="_GRREQ_Scen_Match">_GRREQ!$B$2:$B$201</definedName>
    <definedName name="Abbreviations">_Param!$A$3:$B$18</definedName>
    <definedName name="CompTypes">_Domains!$C$2:$C$12</definedName>
    <definedName name="CompTypes_and_Explanation">_Domains!$C$2:$D$7</definedName>
    <definedName name="Dimensions">_Dimensions!$B$2:$B$11</definedName>
    <definedName name="Dimensions_Shown">_Param!$V$2:$AE$2</definedName>
    <definedName name="Dims_And_Explanation">_Dimensions!$B$2:$D$11</definedName>
    <definedName name="Display">_Param!$I$2:$I$3</definedName>
    <definedName name="Domains">_Domains!$A$2:$A$6</definedName>
    <definedName name="GR_Actual_Degrees">'Goals &amp; Risks'!$M$2:$M$237</definedName>
    <definedName name="GR_Affected_Stakeholders">'Goals &amp; Risks'!$E$2:$E$237</definedName>
    <definedName name="GR_All">'Goals &amp; Risks'!$A$2:$H$237</definedName>
    <definedName name="GR_Dims_System_might_affect">'Goals &amp; Risks'!$F$2:$F$237</definedName>
    <definedName name="GR_IDs">'Goals &amp; Risks'!$A$2:$A$237</definedName>
    <definedName name="Realization_Explanation">_Param!$D$3:$G$13</definedName>
    <definedName name="Req_IDs">Requirements!$A$7:$A$192</definedName>
    <definedName name="Reqs_and_Explanation">Requirements!$A$7:$C$492</definedName>
    <definedName name="Scen1">_Scenarios!$C$2:$C$3</definedName>
    <definedName name="Scen2">_Scenarios!$C$4:$C$5</definedName>
    <definedName name="Scen3">_Scenarios!$C$6:$C$7</definedName>
    <definedName name="Scen4">_Scenarios!$C$8:$C$9</definedName>
    <definedName name="Scen5">_Scenarios!$C$10:$C$11</definedName>
    <definedName name="Scen6">_Scenarios!$C$12:$C$13</definedName>
    <definedName name="Scenarios">_Scenarios!$C$2:$C$13</definedName>
    <definedName name="Scens_With_All_Data">_Scenarios!$C$2:$G$13</definedName>
    <definedName name="Stakeholders">Stakeholders!$A$9:$A$19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7" i="19" l="1"/>
  <c r="H37" i="19" s="1"/>
  <c r="F36" i="19"/>
  <c r="H36" i="19" s="1"/>
  <c r="F35" i="19"/>
  <c r="H35" i="19" s="1"/>
  <c r="F34" i="19"/>
  <c r="G34" i="19" s="1"/>
  <c r="F33" i="19"/>
  <c r="H33" i="19" s="1"/>
  <c r="F32" i="19"/>
  <c r="H32" i="19" s="1"/>
  <c r="F31" i="19"/>
  <c r="H31" i="19" s="1"/>
  <c r="F30" i="19"/>
  <c r="G30" i="19" s="1"/>
  <c r="F29" i="19"/>
  <c r="H29" i="19" s="1"/>
  <c r="F28" i="19"/>
  <c r="H28" i="19" s="1"/>
  <c r="B38" i="19"/>
  <c r="D38" i="19" s="1"/>
  <c r="B37" i="19"/>
  <c r="C37" i="19" s="1"/>
  <c r="B36" i="19"/>
  <c r="C36" i="19" s="1"/>
  <c r="B35" i="19"/>
  <c r="D35" i="19" s="1"/>
  <c r="B34" i="19"/>
  <c r="D34" i="19" s="1"/>
  <c r="B33" i="19"/>
  <c r="C33" i="19" s="1"/>
  <c r="B32" i="19"/>
  <c r="C32" i="19" s="1"/>
  <c r="B31" i="19"/>
  <c r="D31" i="19" s="1"/>
  <c r="B30" i="19"/>
  <c r="D30" i="19" s="1"/>
  <c r="B29" i="19"/>
  <c r="C29" i="19" s="1"/>
  <c r="B28" i="19"/>
  <c r="C28" i="19" s="1"/>
  <c r="G32" i="19" l="1"/>
  <c r="D28" i="19"/>
  <c r="G31" i="19"/>
  <c r="G35" i="19"/>
  <c r="C34" i="19"/>
  <c r="G28" i="19"/>
  <c r="G36" i="19"/>
  <c r="H30" i="19"/>
  <c r="H34" i="19"/>
  <c r="D36" i="19"/>
  <c r="G29" i="19"/>
  <c r="G33" i="19"/>
  <c r="G37" i="19"/>
  <c r="C30" i="19"/>
  <c r="C31" i="19"/>
  <c r="D32" i="19"/>
  <c r="C35" i="19"/>
  <c r="C38" i="19"/>
  <c r="D29" i="19"/>
  <c r="D33" i="19"/>
  <c r="D37" i="19"/>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21" i="10"/>
  <c r="D20" i="10"/>
  <c r="D19" i="10"/>
  <c r="D18" i="10"/>
  <c r="D17" i="10"/>
  <c r="D16" i="10"/>
  <c r="D15" i="10"/>
  <c r="D14" i="10"/>
  <c r="D13" i="10"/>
  <c r="D12" i="10"/>
  <c r="D11" i="10"/>
  <c r="D10" i="10"/>
  <c r="D9" i="10"/>
  <c r="D8" i="10"/>
  <c r="D7"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B263" i="12" l="1"/>
  <c r="B262" i="12"/>
  <c r="B261" i="12"/>
  <c r="B260" i="12"/>
  <c r="B259" i="12"/>
  <c r="B258" i="12"/>
  <c r="B257" i="12"/>
  <c r="B256" i="12"/>
  <c r="B255" i="12"/>
  <c r="B254" i="12"/>
  <c r="B253" i="12"/>
  <c r="B252" i="12"/>
  <c r="B251" i="12"/>
  <c r="B250" i="12"/>
  <c r="B249" i="12"/>
  <c r="B248" i="12"/>
  <c r="B247" i="12"/>
  <c r="B246" i="12"/>
  <c r="B245" i="12"/>
  <c r="B244" i="12"/>
  <c r="B243" i="12"/>
  <c r="B242" i="12"/>
  <c r="B241" i="12"/>
  <c r="B240" i="12"/>
  <c r="B239" i="12"/>
  <c r="B238" i="12"/>
  <c r="B237" i="12"/>
  <c r="B236" i="12"/>
  <c r="B235" i="12"/>
  <c r="B234" i="12"/>
  <c r="B233" i="12"/>
  <c r="B232" i="12"/>
  <c r="B231" i="12"/>
  <c r="B230" i="12"/>
  <c r="B229" i="12"/>
  <c r="B228" i="12"/>
  <c r="B227" i="12"/>
  <c r="B226" i="12"/>
  <c r="B225" i="12"/>
  <c r="B224" i="12"/>
  <c r="B223" i="12"/>
  <c r="B222" i="12"/>
  <c r="B221" i="12"/>
  <c r="B220" i="12"/>
  <c r="B219" i="12"/>
  <c r="B218" i="12"/>
  <c r="B217" i="12"/>
  <c r="B216" i="12"/>
  <c r="B215" i="12"/>
  <c r="B214" i="12"/>
  <c r="B213" i="12"/>
  <c r="B212" i="12"/>
  <c r="B211" i="12"/>
  <c r="B210" i="12"/>
  <c r="B209" i="12"/>
  <c r="B208" i="12"/>
  <c r="B207" i="12"/>
  <c r="B206" i="12"/>
  <c r="B205" i="12"/>
  <c r="B204" i="12"/>
  <c r="B203" i="12"/>
  <c r="B202" i="12"/>
  <c r="B201" i="12"/>
  <c r="B200" i="12"/>
  <c r="B199" i="12"/>
  <c r="B198" i="12"/>
  <c r="B197" i="12"/>
  <c r="B196" i="12"/>
  <c r="B195" i="12"/>
  <c r="B194" i="12"/>
  <c r="B193" i="12"/>
  <c r="B192" i="12"/>
  <c r="B191" i="12"/>
  <c r="B190" i="12"/>
  <c r="B189" i="12"/>
  <c r="B188" i="12"/>
  <c r="B187" i="12"/>
  <c r="B186" i="12"/>
  <c r="B185" i="12"/>
  <c r="B184" i="12"/>
  <c r="B183" i="12"/>
  <c r="B182" i="12"/>
  <c r="B181" i="12"/>
  <c r="B180" i="12"/>
  <c r="B179" i="12"/>
  <c r="B178" i="12"/>
  <c r="B177" i="12"/>
  <c r="B176" i="12"/>
  <c r="B175" i="12"/>
  <c r="B174" i="12"/>
  <c r="B173" i="12"/>
  <c r="B172" i="12"/>
  <c r="B171" i="12"/>
  <c r="B170" i="12"/>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B144" i="12"/>
  <c r="B143" i="12"/>
  <c r="B142" i="12"/>
  <c r="B141" i="12"/>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B77" i="12"/>
  <c r="B76" i="12"/>
  <c r="B75" i="12"/>
  <c r="B74" i="12"/>
  <c r="B73" i="12"/>
  <c r="B72" i="12"/>
  <c r="B71" i="12"/>
  <c r="B70" i="12"/>
  <c r="B68" i="12"/>
  <c r="B66" i="12"/>
  <c r="B65" i="12"/>
  <c r="B64" i="12"/>
  <c r="B60" i="12"/>
  <c r="B55" i="12"/>
  <c r="B54" i="12"/>
  <c r="B53" i="12"/>
  <c r="B52" i="12"/>
  <c r="B48" i="12"/>
  <c r="B47" i="12"/>
  <c r="B46" i="12"/>
  <c r="B45" i="12"/>
  <c r="B44" i="12"/>
  <c r="B43" i="12"/>
  <c r="B40" i="12"/>
  <c r="B39" i="12"/>
  <c r="B36" i="12"/>
  <c r="B35" i="12"/>
  <c r="B34" i="12"/>
  <c r="B33" i="12"/>
  <c r="B32" i="12"/>
  <c r="B31" i="12"/>
  <c r="B30" i="12"/>
  <c r="B28" i="12"/>
  <c r="B27" i="12"/>
  <c r="B26" i="12"/>
  <c r="B25" i="12"/>
  <c r="B24" i="12"/>
  <c r="B23" i="12"/>
  <c r="B22" i="12"/>
  <c r="B21" i="12"/>
  <c r="B20" i="12"/>
  <c r="B19" i="12"/>
  <c r="B17" i="12"/>
  <c r="B16" i="12"/>
  <c r="B15" i="12"/>
  <c r="B14" i="12"/>
  <c r="B13" i="12"/>
  <c r="B12" i="12"/>
  <c r="B11" i="12"/>
  <c r="B10" i="12"/>
  <c r="B9" i="12"/>
  <c r="B8" i="12"/>
  <c r="B7" i="12"/>
  <c r="B6" i="12"/>
  <c r="A29" i="10" l="1"/>
  <c r="A28" i="10"/>
  <c r="A27" i="10"/>
  <c r="A26" i="10"/>
  <c r="A25" i="10"/>
  <c r="A24" i="10"/>
  <c r="A23" i="10"/>
  <c r="A22" i="10"/>
  <c r="A21" i="10"/>
  <c r="A20" i="10"/>
  <c r="W19" i="1" l="1"/>
  <c r="V19" i="1"/>
  <c r="U19" i="1"/>
  <c r="T19" i="1"/>
  <c r="S19" i="1"/>
  <c r="R19" i="1"/>
  <c r="Q19" i="1"/>
  <c r="P19" i="1"/>
  <c r="O19" i="1"/>
  <c r="N19" i="1"/>
  <c r="G19" i="1"/>
  <c r="F19" i="1"/>
  <c r="E19" i="1"/>
  <c r="D19" i="1"/>
  <c r="Q18" i="1"/>
  <c r="P18" i="1"/>
  <c r="O18" i="1"/>
  <c r="N18" i="1"/>
  <c r="K18" i="1"/>
  <c r="J18" i="1"/>
  <c r="I18" i="1"/>
  <c r="H18" i="1"/>
  <c r="G18" i="1"/>
  <c r="F18" i="1"/>
  <c r="E18" i="1"/>
  <c r="D18" i="1"/>
  <c r="Q17" i="1"/>
  <c r="P17" i="1"/>
  <c r="O17" i="1"/>
  <c r="N17" i="1"/>
  <c r="K17" i="1"/>
  <c r="J17" i="1"/>
  <c r="I17" i="1"/>
  <c r="H17" i="1"/>
  <c r="G17" i="1"/>
  <c r="F17" i="1"/>
  <c r="E17" i="1"/>
  <c r="D17" i="1"/>
  <c r="M16" i="1"/>
  <c r="L16" i="1"/>
  <c r="K16" i="1"/>
  <c r="J16" i="1"/>
  <c r="I16" i="1"/>
  <c r="H16" i="1"/>
  <c r="G16" i="1"/>
  <c r="F16" i="1"/>
  <c r="E16" i="1"/>
  <c r="D16" i="1"/>
  <c r="Q15" i="1"/>
  <c r="P15" i="1"/>
  <c r="O15" i="1"/>
  <c r="N15" i="1"/>
  <c r="K15" i="1"/>
  <c r="J15" i="1"/>
  <c r="I15" i="1"/>
  <c r="H15" i="1"/>
  <c r="G15" i="1"/>
  <c r="F15" i="1"/>
  <c r="E15" i="1"/>
  <c r="D15" i="1"/>
  <c r="W14" i="1"/>
  <c r="V14" i="1"/>
  <c r="U14" i="1"/>
  <c r="T14" i="1"/>
  <c r="O14" i="1"/>
  <c r="N14" i="1"/>
  <c r="K14" i="1"/>
  <c r="J14" i="1"/>
  <c r="I14" i="1"/>
  <c r="H14" i="1"/>
  <c r="G14" i="1"/>
  <c r="F14" i="1"/>
  <c r="E14" i="1"/>
  <c r="D14" i="1"/>
  <c r="W13" i="1"/>
  <c r="V13" i="1"/>
  <c r="U13" i="1"/>
  <c r="T13" i="1"/>
  <c r="O13" i="1"/>
  <c r="N13" i="1"/>
  <c r="M13" i="1"/>
  <c r="L13" i="1"/>
  <c r="K13" i="1"/>
  <c r="J13" i="1"/>
  <c r="I13" i="1"/>
  <c r="H13" i="1"/>
  <c r="G13" i="1"/>
  <c r="F13" i="1"/>
  <c r="E13" i="1"/>
  <c r="D13" i="1"/>
  <c r="W12" i="1"/>
  <c r="V12" i="1"/>
  <c r="O12" i="1"/>
  <c r="N12" i="1"/>
  <c r="K12" i="1"/>
  <c r="J12" i="1"/>
  <c r="G12" i="1"/>
  <c r="F12" i="1"/>
  <c r="E12" i="1"/>
  <c r="D12" i="1"/>
  <c r="W11" i="1"/>
  <c r="V11" i="1"/>
  <c r="U11" i="1"/>
  <c r="T11" i="1"/>
  <c r="Q11" i="1"/>
  <c r="P11" i="1"/>
  <c r="O11" i="1"/>
  <c r="N11" i="1"/>
  <c r="K11" i="1"/>
  <c r="J11" i="1"/>
  <c r="I11" i="1"/>
  <c r="H11" i="1"/>
  <c r="G11" i="1"/>
  <c r="F11" i="1"/>
  <c r="E11" i="1"/>
  <c r="D11" i="1"/>
  <c r="W10" i="1"/>
  <c r="V10" i="1"/>
  <c r="U10" i="1"/>
  <c r="T10" i="1"/>
  <c r="K10" i="1"/>
  <c r="J10" i="1"/>
  <c r="E10" i="1"/>
  <c r="D10" i="1"/>
  <c r="W9" i="1"/>
  <c r="V9" i="1"/>
  <c r="U9" i="1"/>
  <c r="T9" i="1"/>
  <c r="S9" i="1"/>
  <c r="R9" i="1"/>
  <c r="Q9" i="1"/>
  <c r="P9" i="1"/>
  <c r="O9" i="1"/>
  <c r="N9" i="1"/>
  <c r="A19" i="10" l="1"/>
  <c r="A18" i="10"/>
  <c r="A17" i="10"/>
  <c r="A16" i="10"/>
  <c r="A15" i="10"/>
  <c r="A14" i="10"/>
  <c r="A13" i="10"/>
  <c r="A12" i="10"/>
  <c r="A11" i="10"/>
  <c r="A10" i="10"/>
  <c r="A9" i="10"/>
  <c r="A8" i="10"/>
  <c r="J4" i="4" l="1"/>
  <c r="I4" i="4"/>
  <c r="A4" i="4"/>
  <c r="B4" i="4" s="1"/>
  <c r="A5" i="4"/>
  <c r="B5" i="4" s="1"/>
  <c r="I5" i="4"/>
  <c r="J5" i="4"/>
  <c r="B2" i="12"/>
  <c r="G13" i="5"/>
  <c r="G12" i="5"/>
  <c r="G11" i="5"/>
  <c r="G10" i="5"/>
  <c r="G9" i="5"/>
  <c r="G8" i="5"/>
  <c r="G7" i="5"/>
  <c r="G6" i="5"/>
  <c r="G5" i="5"/>
  <c r="G4" i="5"/>
  <c r="G3" i="5"/>
  <c r="B5" i="12" s="1"/>
  <c r="G2" i="5"/>
  <c r="J125" i="4"/>
  <c r="I125" i="4"/>
  <c r="J124" i="4"/>
  <c r="I124" i="4"/>
  <c r="J123" i="4"/>
  <c r="I123" i="4"/>
  <c r="J122" i="4"/>
  <c r="I122" i="4"/>
  <c r="J121" i="4"/>
  <c r="I121" i="4"/>
  <c r="J120" i="4"/>
  <c r="I120" i="4"/>
  <c r="J119" i="4"/>
  <c r="I119" i="4"/>
  <c r="J118" i="4"/>
  <c r="I118" i="4"/>
  <c r="J117" i="4"/>
  <c r="I117" i="4"/>
  <c r="J116" i="4"/>
  <c r="I116" i="4"/>
  <c r="J115" i="4"/>
  <c r="I115" i="4"/>
  <c r="J114" i="4"/>
  <c r="I114" i="4"/>
  <c r="J113" i="4"/>
  <c r="I113" i="4"/>
  <c r="J112" i="4"/>
  <c r="I112" i="4"/>
  <c r="J111" i="4"/>
  <c r="I111" i="4"/>
  <c r="J110" i="4"/>
  <c r="I110" i="4"/>
  <c r="J109" i="4"/>
  <c r="I109" i="4"/>
  <c r="J108" i="4"/>
  <c r="I108" i="4"/>
  <c r="J107" i="4"/>
  <c r="I107" i="4"/>
  <c r="J106" i="4"/>
  <c r="I106" i="4"/>
  <c r="J105" i="4"/>
  <c r="I105" i="4"/>
  <c r="J104" i="4"/>
  <c r="I104" i="4"/>
  <c r="J103" i="4"/>
  <c r="I103" i="4"/>
  <c r="J102" i="4"/>
  <c r="I102" i="4"/>
  <c r="J101" i="4"/>
  <c r="I101" i="4"/>
  <c r="J100" i="4"/>
  <c r="I100" i="4"/>
  <c r="J99" i="4"/>
  <c r="I99" i="4"/>
  <c r="J98" i="4"/>
  <c r="I98" i="4"/>
  <c r="J97" i="4"/>
  <c r="I97" i="4"/>
  <c r="J96" i="4"/>
  <c r="I96" i="4"/>
  <c r="J95" i="4"/>
  <c r="I95" i="4"/>
  <c r="J94" i="4"/>
  <c r="I94" i="4"/>
  <c r="J93" i="4"/>
  <c r="I93" i="4"/>
  <c r="J92" i="4"/>
  <c r="I92" i="4"/>
  <c r="J91" i="4"/>
  <c r="I91" i="4"/>
  <c r="J90" i="4"/>
  <c r="I90" i="4"/>
  <c r="J89" i="4"/>
  <c r="I89" i="4"/>
  <c r="J88" i="4"/>
  <c r="I88" i="4"/>
  <c r="J87" i="4"/>
  <c r="I87" i="4"/>
  <c r="J86" i="4"/>
  <c r="I86" i="4"/>
  <c r="J85" i="4"/>
  <c r="I85" i="4"/>
  <c r="J84" i="4"/>
  <c r="I84" i="4"/>
  <c r="J83" i="4"/>
  <c r="I83" i="4"/>
  <c r="J82" i="4"/>
  <c r="I82" i="4"/>
  <c r="J81" i="4"/>
  <c r="I81" i="4"/>
  <c r="J80" i="4"/>
  <c r="I80" i="4"/>
  <c r="J79" i="4"/>
  <c r="I79" i="4"/>
  <c r="J78" i="4"/>
  <c r="I78" i="4"/>
  <c r="J77" i="4"/>
  <c r="I77" i="4"/>
  <c r="J76" i="4"/>
  <c r="I76" i="4"/>
  <c r="J75" i="4"/>
  <c r="I75" i="4"/>
  <c r="J74" i="4"/>
  <c r="I74" i="4"/>
  <c r="J73" i="4"/>
  <c r="I73" i="4"/>
  <c r="J72" i="4"/>
  <c r="I72" i="4"/>
  <c r="J71" i="4"/>
  <c r="J70" i="4"/>
  <c r="J69" i="4"/>
  <c r="I69" i="4"/>
  <c r="J68" i="4"/>
  <c r="I68" i="4"/>
  <c r="J67" i="4"/>
  <c r="I67" i="4"/>
  <c r="J66" i="4"/>
  <c r="J65" i="4"/>
  <c r="J64" i="4"/>
  <c r="J63" i="4"/>
  <c r="J62" i="4"/>
  <c r="J61" i="4"/>
  <c r="J60" i="4"/>
  <c r="J59" i="4"/>
  <c r="J58" i="4"/>
  <c r="J57" i="4"/>
  <c r="J56" i="4"/>
  <c r="J55" i="4"/>
  <c r="J48" i="4"/>
  <c r="J47" i="4"/>
  <c r="J43" i="4"/>
  <c r="J42" i="4"/>
  <c r="J41" i="4"/>
  <c r="J40" i="4"/>
  <c r="I40" i="4"/>
  <c r="J39" i="4"/>
  <c r="I39" i="4"/>
  <c r="J38" i="4"/>
  <c r="I38" i="4"/>
  <c r="J37" i="4"/>
  <c r="I37" i="4"/>
  <c r="J36" i="4"/>
  <c r="I36" i="4"/>
  <c r="J35" i="4"/>
  <c r="I35" i="4"/>
  <c r="J34" i="4"/>
  <c r="I34" i="4"/>
  <c r="J33" i="4"/>
  <c r="I33" i="4"/>
  <c r="J32" i="4"/>
  <c r="I32" i="4"/>
  <c r="J31" i="4"/>
  <c r="I31" i="4"/>
  <c r="J30" i="4"/>
  <c r="I30" i="4"/>
  <c r="J29" i="4"/>
  <c r="I29" i="4"/>
  <c r="J28" i="4"/>
  <c r="I28" i="4"/>
  <c r="J27" i="4"/>
  <c r="I27" i="4"/>
  <c r="J26" i="4"/>
  <c r="I26" i="4"/>
  <c r="J25" i="4"/>
  <c r="I25" i="4"/>
  <c r="J24" i="4"/>
  <c r="I24" i="4"/>
  <c r="J23" i="4"/>
  <c r="I23" i="4"/>
  <c r="J22" i="4"/>
  <c r="I22" i="4"/>
  <c r="J21" i="4"/>
  <c r="J20" i="4"/>
  <c r="I20" i="4"/>
  <c r="J19" i="4"/>
  <c r="I19" i="4"/>
  <c r="J18" i="4"/>
  <c r="I18" i="4"/>
  <c r="J17" i="4"/>
  <c r="I17" i="4"/>
  <c r="J16" i="4"/>
  <c r="I16" i="4"/>
  <c r="J15" i="4"/>
  <c r="I15" i="4"/>
  <c r="J14" i="4"/>
  <c r="J13" i="4"/>
  <c r="I13" i="4"/>
  <c r="J12" i="4"/>
  <c r="I12" i="4"/>
  <c r="J11" i="4"/>
  <c r="I11" i="4"/>
  <c r="J10" i="4"/>
  <c r="I10" i="4"/>
  <c r="J9" i="4"/>
  <c r="I9" i="4"/>
  <c r="J8" i="4"/>
  <c r="I8" i="4"/>
  <c r="J7" i="4"/>
  <c r="I7" i="4"/>
  <c r="J6" i="4"/>
  <c r="J3" i="4"/>
  <c r="J2" i="4"/>
  <c r="I2" i="4"/>
  <c r="F13" i="5"/>
  <c r="I59" i="4" s="1"/>
  <c r="F12" i="5"/>
  <c r="F11" i="5"/>
  <c r="I70" i="4" s="1"/>
  <c r="F10" i="5"/>
  <c r="F9" i="5"/>
  <c r="J53" i="4" s="1"/>
  <c r="F8" i="5"/>
  <c r="F7" i="5"/>
  <c r="F6" i="5"/>
  <c r="F5" i="5"/>
  <c r="I3" i="4" s="1"/>
  <c r="F4" i="5"/>
  <c r="I14" i="4" s="1"/>
  <c r="F3" i="5"/>
  <c r="I53" i="4" s="1"/>
  <c r="F2" i="5"/>
  <c r="P4" i="1"/>
  <c r="K4" i="1"/>
  <c r="F4" i="1"/>
  <c r="P2" i="1"/>
  <c r="K2" i="1"/>
  <c r="F2" i="1"/>
  <c r="A3" i="4"/>
  <c r="B3" i="4" s="1"/>
  <c r="I56" i="4" l="1"/>
  <c r="I58" i="4"/>
  <c r="I60" i="4"/>
  <c r="B59" i="12"/>
  <c r="B61" i="12"/>
  <c r="B69" i="12"/>
  <c r="B58" i="12"/>
  <c r="B29" i="12"/>
  <c r="I55" i="4"/>
  <c r="I57" i="4"/>
  <c r="B3" i="12"/>
  <c r="B41" i="12"/>
  <c r="B18" i="12"/>
  <c r="B42" i="12"/>
  <c r="B67" i="12"/>
  <c r="B57" i="12"/>
  <c r="B56" i="12"/>
  <c r="B63" i="12"/>
  <c r="B62" i="12"/>
  <c r="B49" i="12"/>
  <c r="B37" i="12"/>
  <c r="B38" i="12"/>
  <c r="J51" i="4"/>
  <c r="B4" i="12"/>
  <c r="B51" i="12"/>
  <c r="B50" i="12"/>
  <c r="K4" i="4"/>
  <c r="K5" i="4"/>
  <c r="I65" i="4"/>
  <c r="I61" i="4"/>
  <c r="I63" i="4"/>
  <c r="I71" i="4"/>
  <c r="I62" i="4"/>
  <c r="I64" i="4"/>
  <c r="I66" i="4"/>
  <c r="I42" i="4"/>
  <c r="I48" i="4"/>
  <c r="I52" i="4"/>
  <c r="I46" i="4"/>
  <c r="I50" i="4"/>
  <c r="I6" i="4"/>
  <c r="I44" i="4"/>
  <c r="I54" i="4"/>
  <c r="K3" i="4"/>
  <c r="I21" i="4"/>
  <c r="J46" i="4"/>
  <c r="J49" i="4"/>
  <c r="J54" i="4"/>
  <c r="J44" i="4"/>
  <c r="J52" i="4"/>
  <c r="J45" i="4"/>
  <c r="J50" i="4"/>
  <c r="I41" i="4"/>
  <c r="I43" i="4"/>
  <c r="I45" i="4"/>
  <c r="I47" i="4"/>
  <c r="I49" i="4"/>
  <c r="I51" i="4"/>
  <c r="A14" i="4"/>
  <c r="B14" i="4" s="1"/>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A71" i="4"/>
  <c r="B71" i="4" s="1"/>
  <c r="A67" i="4"/>
  <c r="B67" i="4" s="1"/>
  <c r="A66" i="4"/>
  <c r="B66" i="4" s="1"/>
  <c r="A65" i="4"/>
  <c r="B65" i="4" s="1"/>
  <c r="A64" i="4"/>
  <c r="B64" i="4" s="1"/>
  <c r="A63" i="4"/>
  <c r="B63" i="4" s="1"/>
  <c r="A62" i="4"/>
  <c r="B62" i="4" s="1"/>
  <c r="A61" i="4"/>
  <c r="B61" i="4" s="1"/>
  <c r="A60" i="4"/>
  <c r="B60" i="4" s="1"/>
  <c r="A54" i="4"/>
  <c r="A44" i="4"/>
  <c r="B44" i="4" s="1"/>
  <c r="A33" i="4"/>
  <c r="B33" i="4" s="1"/>
  <c r="A18" i="4"/>
  <c r="B18" i="4" s="1"/>
  <c r="A51" i="4"/>
  <c r="B51" i="4" s="1"/>
  <c r="A50" i="4"/>
  <c r="B50" i="4" s="1"/>
  <c r="L5" i="4" l="1"/>
  <c r="M5" i="4" s="1"/>
  <c r="L4" i="4"/>
  <c r="M4" i="4" s="1"/>
  <c r="K14" i="4"/>
  <c r="K6" i="4"/>
  <c r="K10" i="4"/>
  <c r="K12" i="4"/>
  <c r="K15" i="4"/>
  <c r="K39" i="4"/>
  <c r="K43" i="4"/>
  <c r="K45" i="4"/>
  <c r="K49" i="4"/>
  <c r="K99" i="4"/>
  <c r="M99" i="4" s="1"/>
  <c r="K103" i="4"/>
  <c r="M103" i="4" s="1"/>
  <c r="K107" i="4"/>
  <c r="M107" i="4" s="1"/>
  <c r="K111" i="4"/>
  <c r="M111" i="4" s="1"/>
  <c r="K82" i="4"/>
  <c r="M82" i="4" s="1"/>
  <c r="K94" i="4"/>
  <c r="M94" i="4" s="1"/>
  <c r="K98" i="4"/>
  <c r="M98" i="4" s="1"/>
  <c r="K102" i="4"/>
  <c r="M102" i="4" s="1"/>
  <c r="K106" i="4"/>
  <c r="M106" i="4" s="1"/>
  <c r="K110" i="4"/>
  <c r="M110" i="4" s="1"/>
  <c r="K115" i="4"/>
  <c r="M115" i="4" s="1"/>
  <c r="K118" i="4"/>
  <c r="M118" i="4" s="1"/>
  <c r="K52" i="4"/>
  <c r="K7" i="4"/>
  <c r="K19" i="4"/>
  <c r="K55" i="4"/>
  <c r="K59" i="4"/>
  <c r="K63" i="4"/>
  <c r="K67" i="4"/>
  <c r="K71" i="4"/>
  <c r="K75" i="4"/>
  <c r="K79" i="4"/>
  <c r="K89" i="4"/>
  <c r="M89" i="4" s="1"/>
  <c r="K93" i="4"/>
  <c r="M93" i="4" s="1"/>
  <c r="K91" i="4"/>
  <c r="M91" i="4" s="1"/>
  <c r="K18" i="4"/>
  <c r="K22" i="4"/>
  <c r="K28" i="4"/>
  <c r="K32" i="4"/>
  <c r="K34" i="4"/>
  <c r="K36" i="4"/>
  <c r="K38" i="4"/>
  <c r="K44" i="4"/>
  <c r="K48" i="4"/>
  <c r="K50" i="4"/>
  <c r="K84" i="4"/>
  <c r="M84" i="4" s="1"/>
  <c r="K88" i="4"/>
  <c r="M88" i="4" s="1"/>
  <c r="K95" i="4"/>
  <c r="M95" i="4" s="1"/>
  <c r="K16" i="4"/>
  <c r="K20" i="4"/>
  <c r="K17" i="4"/>
  <c r="K23" i="4"/>
  <c r="K27" i="4"/>
  <c r="K29" i="4"/>
  <c r="K33" i="4"/>
  <c r="K40" i="4"/>
  <c r="K54" i="4"/>
  <c r="K58" i="4"/>
  <c r="K62" i="4"/>
  <c r="K66" i="4"/>
  <c r="K70" i="4"/>
  <c r="K74" i="4"/>
  <c r="K78" i="4"/>
  <c r="K83" i="4"/>
  <c r="M83" i="4" s="1"/>
  <c r="K87" i="4"/>
  <c r="M87" i="4" s="1"/>
  <c r="K24" i="4"/>
  <c r="K9" i="4"/>
  <c r="K11" i="4"/>
  <c r="K21" i="4"/>
  <c r="K26" i="4"/>
  <c r="K31" i="4"/>
  <c r="K37" i="4"/>
  <c r="K42" i="4"/>
  <c r="K47" i="4"/>
  <c r="K53" i="4"/>
  <c r="K57" i="4"/>
  <c r="K61" i="4"/>
  <c r="K65" i="4"/>
  <c r="K69" i="4"/>
  <c r="K73" i="4"/>
  <c r="K77" i="4"/>
  <c r="K81" i="4"/>
  <c r="M81" i="4" s="1"/>
  <c r="K86" i="4"/>
  <c r="M86" i="4" s="1"/>
  <c r="K92" i="4"/>
  <c r="M92" i="4" s="1"/>
  <c r="K97" i="4"/>
  <c r="M97" i="4" s="1"/>
  <c r="K101" i="4"/>
  <c r="M101" i="4" s="1"/>
  <c r="K105" i="4"/>
  <c r="M105" i="4" s="1"/>
  <c r="K109" i="4"/>
  <c r="M109" i="4" s="1"/>
  <c r="K113" i="4"/>
  <c r="M113" i="4" s="1"/>
  <c r="K114" i="4"/>
  <c r="M114" i="4" s="1"/>
  <c r="K117" i="4"/>
  <c r="M117" i="4" s="1"/>
  <c r="K8" i="4"/>
  <c r="K13" i="4"/>
  <c r="K25" i="4"/>
  <c r="K30" i="4"/>
  <c r="K35" i="4"/>
  <c r="K41" i="4"/>
  <c r="K46" i="4"/>
  <c r="K51" i="4"/>
  <c r="K56" i="4"/>
  <c r="K60" i="4"/>
  <c r="K64" i="4"/>
  <c r="K68" i="4"/>
  <c r="K72" i="4"/>
  <c r="K76" i="4"/>
  <c r="K80" i="4"/>
  <c r="K85" i="4"/>
  <c r="M85" i="4" s="1"/>
  <c r="K90" i="4"/>
  <c r="M90" i="4" s="1"/>
  <c r="K96" i="4"/>
  <c r="M96" i="4" s="1"/>
  <c r="K100" i="4"/>
  <c r="M100" i="4" s="1"/>
  <c r="K104" i="4"/>
  <c r="M104" i="4" s="1"/>
  <c r="K108" i="4"/>
  <c r="M108" i="4" s="1"/>
  <c r="K112" i="4"/>
  <c r="M112" i="4" s="1"/>
  <c r="K116" i="4"/>
  <c r="M116" i="4" s="1"/>
  <c r="A31" i="4"/>
  <c r="B31" i="4" s="1"/>
  <c r="L125" i="4" l="1"/>
  <c r="L124" i="4"/>
  <c r="L123" i="4"/>
  <c r="L122" i="4"/>
  <c r="L121" i="4"/>
  <c r="L120" i="4"/>
  <c r="L119" i="4"/>
  <c r="BP1" i="12"/>
  <c r="BO1" i="12"/>
  <c r="BN1" i="12"/>
  <c r="BM1" i="12"/>
  <c r="BL1" i="12"/>
  <c r="BK1" i="12"/>
  <c r="BJ1" i="12"/>
  <c r="BI1" i="12"/>
  <c r="BH1" i="12"/>
  <c r="BG1" i="12"/>
  <c r="BF1" i="12"/>
  <c r="BE1" i="12"/>
  <c r="BD1" i="12"/>
  <c r="BC1" i="12"/>
  <c r="BB1" i="12"/>
  <c r="BA1" i="12"/>
  <c r="AZ1" i="12"/>
  <c r="AY1" i="12"/>
  <c r="AX1" i="12"/>
  <c r="AW1" i="12"/>
  <c r="AV1" i="12"/>
  <c r="AU1" i="12"/>
  <c r="AT1" i="12"/>
  <c r="AS1" i="12"/>
  <c r="AR1" i="12"/>
  <c r="AQ1" i="12"/>
  <c r="AP1" i="12"/>
  <c r="AO1" i="12"/>
  <c r="AN1" i="12"/>
  <c r="AM1" i="12"/>
  <c r="AL1" i="12"/>
  <c r="AK1" i="12"/>
  <c r="AJ1" i="12"/>
  <c r="AI1" i="12"/>
  <c r="AH1" i="12"/>
  <c r="AG1" i="12"/>
  <c r="AF1" i="12"/>
  <c r="AE1" i="12"/>
  <c r="AD1" i="12"/>
  <c r="AC1" i="12"/>
  <c r="AB1" i="12"/>
  <c r="AA1" i="12"/>
  <c r="Z1" i="12"/>
  <c r="Y1" i="12"/>
  <c r="X1" i="12"/>
  <c r="W1" i="12"/>
  <c r="V1" i="12"/>
  <c r="U1" i="12"/>
  <c r="T1" i="12"/>
  <c r="S1" i="12"/>
  <c r="R1" i="12"/>
  <c r="Q1" i="12"/>
  <c r="P1" i="12"/>
  <c r="O1" i="12"/>
  <c r="N1" i="12"/>
  <c r="M1" i="12"/>
  <c r="L1" i="12"/>
  <c r="K1" i="12"/>
  <c r="J1" i="12"/>
  <c r="I1" i="12"/>
  <c r="H1" i="12"/>
  <c r="G1" i="12"/>
  <c r="F1" i="12"/>
  <c r="E1" i="12"/>
  <c r="D1" i="12"/>
  <c r="C1" i="12"/>
  <c r="A263" i="12" l="1"/>
  <c r="A262" i="12"/>
  <c r="A261" i="12"/>
  <c r="A260" i="12"/>
  <c r="A259" i="12"/>
  <c r="A258" i="12"/>
  <c r="A257" i="12"/>
  <c r="A256" i="12"/>
  <c r="A255" i="12"/>
  <c r="A254" i="12"/>
  <c r="A253" i="12"/>
  <c r="A252" i="12"/>
  <c r="A251" i="12"/>
  <c r="A250" i="12"/>
  <c r="A249" i="12"/>
  <c r="A248" i="12"/>
  <c r="A247" i="12"/>
  <c r="A246" i="12"/>
  <c r="A245" i="12"/>
  <c r="A244" i="12"/>
  <c r="A243" i="12"/>
  <c r="A242" i="12"/>
  <c r="A241" i="12"/>
  <c r="A240" i="12"/>
  <c r="A239" i="12"/>
  <c r="A238" i="12"/>
  <c r="A237" i="12"/>
  <c r="A236" i="12"/>
  <c r="A235" i="12"/>
  <c r="A234" i="12"/>
  <c r="A233" i="12"/>
  <c r="A232" i="12"/>
  <c r="A231" i="12"/>
  <c r="A230" i="12"/>
  <c r="A229" i="12"/>
  <c r="A228" i="12"/>
  <c r="A227" i="12"/>
  <c r="A226" i="12"/>
  <c r="A225" i="12"/>
  <c r="A224" i="12"/>
  <c r="A223" i="12"/>
  <c r="A222" i="12"/>
  <c r="A221" i="12"/>
  <c r="A220" i="12"/>
  <c r="A219" i="12"/>
  <c r="A218" i="12"/>
  <c r="A217" i="12"/>
  <c r="A216" i="12"/>
  <c r="A215" i="12"/>
  <c r="A214" i="12"/>
  <c r="A213" i="12"/>
  <c r="A212" i="12"/>
  <c r="A211" i="12"/>
  <c r="A210" i="12"/>
  <c r="A209" i="12"/>
  <c r="A208" i="12"/>
  <c r="A207" i="12"/>
  <c r="A206" i="12"/>
  <c r="A205" i="12"/>
  <c r="A204" i="12"/>
  <c r="A203" i="12"/>
  <c r="A202" i="12"/>
  <c r="A201" i="12"/>
  <c r="A200" i="12"/>
  <c r="A199" i="12"/>
  <c r="A198" i="12"/>
  <c r="A197" i="12"/>
  <c r="A196" i="12"/>
  <c r="A195" i="12"/>
  <c r="A194" i="12"/>
  <c r="A193" i="12"/>
  <c r="A192" i="12"/>
  <c r="A191" i="12"/>
  <c r="A190" i="12"/>
  <c r="A189" i="12"/>
  <c r="A188" i="12"/>
  <c r="A187" i="12"/>
  <c r="A186" i="12"/>
  <c r="A185" i="12"/>
  <c r="A184" i="12"/>
  <c r="A183" i="12"/>
  <c r="A182" i="12"/>
  <c r="A181" i="12"/>
  <c r="A180" i="12"/>
  <c r="A179" i="12"/>
  <c r="A178" i="12"/>
  <c r="A177" i="12"/>
  <c r="A176" i="12"/>
  <c r="A175" i="12"/>
  <c r="A174" i="12"/>
  <c r="A173" i="12"/>
  <c r="A172" i="12"/>
  <c r="A171" i="12"/>
  <c r="A170" i="12"/>
  <c r="A169" i="12"/>
  <c r="A168" i="12"/>
  <c r="A167" i="12"/>
  <c r="A166" i="12"/>
  <c r="A165" i="12"/>
  <c r="A164" i="12"/>
  <c r="A163" i="12"/>
  <c r="A162" i="12"/>
  <c r="A161" i="12"/>
  <c r="A160" i="12"/>
  <c r="A159" i="12"/>
  <c r="A158" i="12"/>
  <c r="A157" i="12"/>
  <c r="A156" i="12"/>
  <c r="A155" i="12"/>
  <c r="A154" i="12"/>
  <c r="A153" i="12"/>
  <c r="A152" i="12"/>
  <c r="A151" i="12"/>
  <c r="A150" i="12"/>
  <c r="A149" i="12"/>
  <c r="A148" i="12"/>
  <c r="A147" i="12"/>
  <c r="A146" i="12"/>
  <c r="A145" i="12"/>
  <c r="A144" i="12"/>
  <c r="A143" i="12"/>
  <c r="A142" i="12"/>
  <c r="A141" i="12"/>
  <c r="A140" i="12"/>
  <c r="A139" i="12"/>
  <c r="A138" i="12"/>
  <c r="A137" i="12"/>
  <c r="A136" i="12"/>
  <c r="A135" i="12"/>
  <c r="A134" i="12"/>
  <c r="A133" i="12"/>
  <c r="A132" i="12"/>
  <c r="A131" i="12"/>
  <c r="A130" i="12"/>
  <c r="A129" i="12"/>
  <c r="A128" i="12"/>
  <c r="A127" i="12"/>
  <c r="A126" i="12"/>
  <c r="A125" i="12"/>
  <c r="A124" i="12"/>
  <c r="A123" i="12"/>
  <c r="A122" i="12"/>
  <c r="A121" i="12"/>
  <c r="A120" i="12"/>
  <c r="A119" i="12"/>
  <c r="A118" i="12"/>
  <c r="A117" i="12"/>
  <c r="A116" i="12"/>
  <c r="A115" i="12"/>
  <c r="A114" i="12"/>
  <c r="A113" i="12"/>
  <c r="A112" i="12"/>
  <c r="A111" i="12"/>
  <c r="A110" i="12"/>
  <c r="A109" i="12"/>
  <c r="A108" i="12"/>
  <c r="A107" i="12"/>
  <c r="A106" i="12"/>
  <c r="A105" i="12"/>
  <c r="A104" i="12"/>
  <c r="A103" i="12"/>
  <c r="A102" i="12"/>
  <c r="A101" i="12"/>
  <c r="A100" i="12"/>
  <c r="A99"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L3" i="4" l="1"/>
  <c r="M3" i="4" s="1"/>
  <c r="L14" i="4"/>
  <c r="M14" i="4" s="1"/>
  <c r="L78" i="4"/>
  <c r="M78" i="4" s="1"/>
  <c r="L74" i="4"/>
  <c r="M74" i="4" s="1"/>
  <c r="L70" i="4"/>
  <c r="M70" i="4" s="1"/>
  <c r="L66" i="4"/>
  <c r="M66" i="4" s="1"/>
  <c r="L62" i="4"/>
  <c r="M62" i="4" s="1"/>
  <c r="L58" i="4"/>
  <c r="M58" i="4" s="1"/>
  <c r="L54" i="4"/>
  <c r="M54" i="4" s="1"/>
  <c r="L49" i="4"/>
  <c r="M49" i="4" s="1"/>
  <c r="L44" i="4"/>
  <c r="M44" i="4" s="1"/>
  <c r="L43" i="4"/>
  <c r="M43" i="4" s="1"/>
  <c r="L38" i="4"/>
  <c r="M38" i="4" s="1"/>
  <c r="L33" i="4"/>
  <c r="M33" i="4" s="1"/>
  <c r="L28" i="4"/>
  <c r="M28" i="4" s="1"/>
  <c r="L27" i="4"/>
  <c r="M27" i="4" s="1"/>
  <c r="L23" i="4"/>
  <c r="M23" i="4" s="1"/>
  <c r="L22" i="4"/>
  <c r="M22" i="4" s="1"/>
  <c r="L17" i="4"/>
  <c r="M17" i="4" s="1"/>
  <c r="L11" i="4"/>
  <c r="M11" i="4" s="1"/>
  <c r="L6" i="4"/>
  <c r="M6" i="4" s="1"/>
  <c r="L72" i="4"/>
  <c r="M72" i="4" s="1"/>
  <c r="L68" i="4"/>
  <c r="M68" i="4" s="1"/>
  <c r="L56" i="4"/>
  <c r="M56" i="4" s="1"/>
  <c r="L41" i="4"/>
  <c r="M41" i="4" s="1"/>
  <c r="L36" i="4"/>
  <c r="M36" i="4" s="1"/>
  <c r="L30" i="4"/>
  <c r="M30" i="4" s="1"/>
  <c r="L25" i="4"/>
  <c r="M25" i="4" s="1"/>
  <c r="L20" i="4"/>
  <c r="M20" i="4" s="1"/>
  <c r="L15" i="4"/>
  <c r="M15" i="4" s="1"/>
  <c r="L77" i="4"/>
  <c r="M77" i="4" s="1"/>
  <c r="L73" i="4"/>
  <c r="M73" i="4" s="1"/>
  <c r="L69" i="4"/>
  <c r="M69" i="4" s="1"/>
  <c r="L61" i="4"/>
  <c r="M61" i="4" s="1"/>
  <c r="L57" i="4"/>
  <c r="M57" i="4" s="1"/>
  <c r="L53" i="4"/>
  <c r="M53" i="4" s="1"/>
  <c r="L48" i="4"/>
  <c r="M48" i="4" s="1"/>
  <c r="L42" i="4"/>
  <c r="M42" i="4" s="1"/>
  <c r="L37" i="4"/>
  <c r="M37" i="4" s="1"/>
  <c r="L32" i="4"/>
  <c r="M32" i="4" s="1"/>
  <c r="L21" i="4"/>
  <c r="M21" i="4" s="1"/>
  <c r="L9" i="4"/>
  <c r="M9" i="4" s="1"/>
  <c r="L79" i="4"/>
  <c r="M79" i="4" s="1"/>
  <c r="L75" i="4"/>
  <c r="M75" i="4" s="1"/>
  <c r="L71" i="4"/>
  <c r="M71" i="4" s="1"/>
  <c r="L67" i="4"/>
  <c r="M67" i="4" s="1"/>
  <c r="L63" i="4"/>
  <c r="M63" i="4" s="1"/>
  <c r="L59" i="4"/>
  <c r="M59" i="4" s="1"/>
  <c r="L55" i="4"/>
  <c r="M55" i="4" s="1"/>
  <c r="L50" i="4"/>
  <c r="M50" i="4" s="1"/>
  <c r="L45" i="4"/>
  <c r="M45" i="4" s="1"/>
  <c r="L40" i="4"/>
  <c r="M40" i="4" s="1"/>
  <c r="L39" i="4"/>
  <c r="M39" i="4" s="1"/>
  <c r="L34" i="4"/>
  <c r="M34" i="4" s="1"/>
  <c r="L29" i="4"/>
  <c r="M29" i="4" s="1"/>
  <c r="L24" i="4"/>
  <c r="M24" i="4" s="1"/>
  <c r="L19" i="4"/>
  <c r="M19" i="4" s="1"/>
  <c r="L18" i="4"/>
  <c r="M18" i="4" s="1"/>
  <c r="L12" i="4"/>
  <c r="M12" i="4" s="1"/>
  <c r="L7" i="4"/>
  <c r="M7" i="4" s="1"/>
  <c r="L80" i="4"/>
  <c r="M80" i="4" s="1"/>
  <c r="L76" i="4"/>
  <c r="M76" i="4" s="1"/>
  <c r="L64" i="4"/>
  <c r="M64" i="4" s="1"/>
  <c r="L60" i="4"/>
  <c r="M60" i="4" s="1"/>
  <c r="L52" i="4"/>
  <c r="M52" i="4" s="1"/>
  <c r="L51" i="4"/>
  <c r="M51" i="4" s="1"/>
  <c r="L46" i="4"/>
  <c r="M46" i="4" s="1"/>
  <c r="L35" i="4"/>
  <c r="M35" i="4" s="1"/>
  <c r="L13" i="4"/>
  <c r="M13" i="4" s="1"/>
  <c r="L8" i="4"/>
  <c r="M8" i="4" s="1"/>
  <c r="L65" i="4"/>
  <c r="M65" i="4" s="1"/>
  <c r="L47" i="4"/>
  <c r="M47" i="4" s="1"/>
  <c r="L31" i="4"/>
  <c r="M31" i="4" s="1"/>
  <c r="L26" i="4"/>
  <c r="M26" i="4" s="1"/>
  <c r="L16" i="4"/>
  <c r="M16" i="4" s="1"/>
  <c r="L10" i="4"/>
  <c r="M10" i="4" s="1"/>
  <c r="L2" i="4"/>
  <c r="K124" i="4"/>
  <c r="M124" i="4" s="1"/>
  <c r="K120" i="4"/>
  <c r="M120" i="4" s="1"/>
  <c r="K122" i="4"/>
  <c r="M122" i="4" s="1"/>
  <c r="K119" i="4"/>
  <c r="M119" i="4" s="1"/>
  <c r="K125" i="4"/>
  <c r="M125" i="4" s="1"/>
  <c r="K2" i="4"/>
  <c r="K121" i="4"/>
  <c r="M121" i="4" s="1"/>
  <c r="K123" i="4"/>
  <c r="M123" i="4" s="1"/>
  <c r="H9" i="1" l="1"/>
  <c r="I9" i="1"/>
  <c r="W16" i="1"/>
  <c r="V16" i="1"/>
  <c r="M19" i="1"/>
  <c r="L19" i="1"/>
  <c r="M12" i="1"/>
  <c r="L12" i="1"/>
  <c r="U15" i="1"/>
  <c r="T15" i="1"/>
  <c r="H19" i="1"/>
  <c r="I19" i="1"/>
  <c r="M14" i="1"/>
  <c r="L14" i="1"/>
  <c r="T16" i="1"/>
  <c r="U16" i="1"/>
  <c r="K19" i="1"/>
  <c r="J19" i="1"/>
  <c r="L9" i="1"/>
  <c r="M9" i="1"/>
  <c r="W17" i="1"/>
  <c r="V17" i="1"/>
  <c r="S11" i="1"/>
  <c r="R11" i="1"/>
  <c r="T17" i="1"/>
  <c r="U17" i="1"/>
  <c r="R12" i="1"/>
  <c r="S12" i="1"/>
  <c r="S16" i="1"/>
  <c r="R16" i="1"/>
  <c r="S18" i="1"/>
  <c r="R18" i="1"/>
  <c r="M10" i="1"/>
  <c r="L10" i="1"/>
  <c r="M11" i="1"/>
  <c r="L11" i="1"/>
  <c r="M15" i="1"/>
  <c r="L15" i="1"/>
  <c r="L18" i="1"/>
  <c r="M18" i="1"/>
  <c r="K9" i="1"/>
  <c r="J9" i="1"/>
  <c r="S17" i="1"/>
  <c r="R17" i="1"/>
  <c r="I10" i="1"/>
  <c r="H10" i="1"/>
  <c r="W18" i="1"/>
  <c r="V18" i="1"/>
  <c r="S10" i="1"/>
  <c r="R10" i="1"/>
  <c r="L17" i="1"/>
  <c r="M17" i="1"/>
  <c r="I12" i="1"/>
  <c r="H12" i="1"/>
  <c r="R15" i="1"/>
  <c r="S15" i="1"/>
  <c r="N16" i="1"/>
  <c r="O16" i="1"/>
  <c r="O10" i="1"/>
  <c r="N10" i="1"/>
  <c r="R14" i="1"/>
  <c r="S14" i="1"/>
  <c r="U18" i="1"/>
  <c r="T18" i="1"/>
  <c r="S13" i="1"/>
  <c r="R13" i="1"/>
  <c r="U12" i="1"/>
  <c r="T12" i="1"/>
  <c r="V15" i="1"/>
  <c r="W15" i="1"/>
  <c r="Q14" i="1"/>
  <c r="P14" i="1"/>
  <c r="Q10" i="1"/>
  <c r="P10" i="1"/>
  <c r="P16" i="1"/>
  <c r="Q16" i="1"/>
  <c r="Q13" i="1"/>
  <c r="P13" i="1"/>
  <c r="P12" i="1"/>
  <c r="Q12" i="1"/>
  <c r="G10" i="1"/>
  <c r="F10" i="1"/>
  <c r="F9" i="1"/>
  <c r="G9" i="1"/>
  <c r="M2" i="4"/>
  <c r="A338" i="15"/>
  <c r="A337" i="15"/>
  <c r="A336" i="15"/>
  <c r="A335" i="15"/>
  <c r="A334" i="15"/>
  <c r="A333" i="15"/>
  <c r="A332" i="15"/>
  <c r="A331" i="15"/>
  <c r="A330" i="15"/>
  <c r="A329" i="15"/>
  <c r="A328" i="15"/>
  <c r="A327" i="15"/>
  <c r="A326" i="15"/>
  <c r="A325" i="15"/>
  <c r="A324" i="15"/>
  <c r="A323" i="15"/>
  <c r="A322" i="15"/>
  <c r="A321" i="15"/>
  <c r="A320" i="15"/>
  <c r="A319" i="15"/>
  <c r="A318" i="15"/>
  <c r="A317" i="15"/>
  <c r="A316" i="15"/>
  <c r="A315" i="15"/>
  <c r="A314" i="15"/>
  <c r="A313" i="15"/>
  <c r="A312" i="15"/>
  <c r="A311" i="15"/>
  <c r="A310" i="15"/>
  <c r="A309" i="15"/>
  <c r="A308" i="15"/>
  <c r="A307" i="15"/>
  <c r="A306" i="15"/>
  <c r="A305" i="15"/>
  <c r="A304" i="15"/>
  <c r="A303" i="15"/>
  <c r="A302" i="15"/>
  <c r="A301" i="15"/>
  <c r="A300" i="15"/>
  <c r="A299" i="15"/>
  <c r="A298" i="15"/>
  <c r="A297" i="15"/>
  <c r="A296" i="15"/>
  <c r="A295" i="15"/>
  <c r="A294" i="15"/>
  <c r="A293" i="15"/>
  <c r="A292" i="15"/>
  <c r="A291" i="15"/>
  <c r="A290" i="15"/>
  <c r="A289" i="15"/>
  <c r="A288" i="15"/>
  <c r="A287" i="15"/>
  <c r="A286" i="15"/>
  <c r="A285" i="15"/>
  <c r="A284" i="15"/>
  <c r="A283" i="15"/>
  <c r="A282" i="15"/>
  <c r="A281" i="15"/>
  <c r="A280" i="15"/>
  <c r="A279" i="15"/>
  <c r="A278" i="15"/>
  <c r="A277" i="15"/>
  <c r="A276" i="15"/>
  <c r="A275" i="15"/>
  <c r="A274" i="15"/>
  <c r="A273" i="15"/>
  <c r="A272" i="15"/>
  <c r="A271" i="15"/>
  <c r="A270" i="15"/>
  <c r="A269" i="15"/>
  <c r="A268" i="15"/>
  <c r="A267" i="15"/>
  <c r="A266" i="15"/>
  <c r="A265" i="15"/>
  <c r="A264" i="15"/>
  <c r="A263" i="15"/>
  <c r="A262" i="15"/>
  <c r="A261" i="15"/>
  <c r="A260" i="15"/>
  <c r="A259" i="15"/>
  <c r="A258" i="15"/>
  <c r="A257" i="15"/>
  <c r="A256" i="15"/>
  <c r="A255" i="15"/>
  <c r="A254" i="15"/>
  <c r="A253" i="15"/>
  <c r="A252" i="15"/>
  <c r="A251" i="15"/>
  <c r="A250" i="15"/>
  <c r="A249" i="15"/>
  <c r="A248" i="15"/>
  <c r="A247" i="15"/>
  <c r="A246" i="15"/>
  <c r="A245" i="15"/>
  <c r="A244" i="15"/>
  <c r="A243" i="15"/>
  <c r="A242" i="15"/>
  <c r="A241" i="15"/>
  <c r="A240" i="15"/>
  <c r="A239" i="15"/>
  <c r="A238" i="15"/>
  <c r="A237" i="15"/>
  <c r="A236" i="15"/>
  <c r="A235" i="15"/>
  <c r="A234" i="15"/>
  <c r="A233" i="15"/>
  <c r="A232" i="15"/>
  <c r="A231" i="15"/>
  <c r="A230" i="15"/>
  <c r="A229" i="15"/>
  <c r="A228" i="15"/>
  <c r="A227" i="15"/>
  <c r="A226" i="15"/>
  <c r="A225" i="15"/>
  <c r="A224" i="15"/>
  <c r="A223" i="15"/>
  <c r="A222" i="15"/>
  <c r="A221" i="15"/>
  <c r="A220" i="15"/>
  <c r="A219" i="15"/>
  <c r="A218" i="15"/>
  <c r="A217" i="15"/>
  <c r="A216" i="15"/>
  <c r="A215" i="15"/>
  <c r="A214" i="15"/>
  <c r="A213" i="15"/>
  <c r="A212" i="15"/>
  <c r="A211" i="15"/>
  <c r="A210" i="15"/>
  <c r="A209" i="15"/>
  <c r="A208" i="15"/>
  <c r="A207" i="15"/>
  <c r="A206" i="15"/>
  <c r="A205" i="15"/>
  <c r="A204" i="15"/>
  <c r="A203" i="15"/>
  <c r="A202" i="15"/>
  <c r="A201" i="15"/>
  <c r="A200" i="15"/>
  <c r="A199" i="15"/>
  <c r="A198" i="15"/>
  <c r="A197" i="15"/>
  <c r="A196" i="15"/>
  <c r="A195" i="15"/>
  <c r="A194" i="15"/>
  <c r="A193" i="15"/>
  <c r="A192" i="15"/>
  <c r="A191" i="15"/>
  <c r="A190" i="15"/>
  <c r="A189" i="15"/>
  <c r="A188" i="15"/>
  <c r="A187" i="15"/>
  <c r="A186" i="15"/>
  <c r="A185" i="15"/>
  <c r="A184" i="15"/>
  <c r="A183" i="15"/>
  <c r="A182" i="15"/>
  <c r="A181" i="15"/>
  <c r="A180" i="15"/>
  <c r="A179" i="15"/>
  <c r="A178" i="15"/>
  <c r="A177" i="15"/>
  <c r="A176" i="15"/>
  <c r="A175" i="15"/>
  <c r="A174" i="15"/>
  <c r="A173" i="15"/>
  <c r="A172" i="15"/>
  <c r="A171" i="15"/>
  <c r="A170" i="15"/>
  <c r="A169" i="15"/>
  <c r="A168" i="15"/>
  <c r="A167" i="15"/>
  <c r="A166" i="15"/>
  <c r="A165" i="15"/>
  <c r="A164" i="15"/>
  <c r="A163" i="15"/>
  <c r="A162" i="15"/>
  <c r="A161" i="15"/>
  <c r="A160" i="15"/>
  <c r="A159" i="15"/>
  <c r="A158" i="15"/>
  <c r="A157" i="15"/>
  <c r="A156" i="15"/>
  <c r="A155" i="15"/>
  <c r="A154" i="15"/>
  <c r="A153" i="15"/>
  <c r="A152" i="15"/>
  <c r="A151" i="15"/>
  <c r="A150" i="15"/>
  <c r="A149" i="15"/>
  <c r="A148" i="15"/>
  <c r="A147" i="15"/>
  <c r="A146" i="15"/>
  <c r="A145" i="15"/>
  <c r="A144" i="15"/>
  <c r="A143" i="15"/>
  <c r="A142" i="15"/>
  <c r="A141" i="15"/>
  <c r="A140" i="15"/>
  <c r="A139" i="15"/>
  <c r="A138" i="15"/>
  <c r="A137" i="15"/>
  <c r="A136" i="15"/>
  <c r="A135" i="15"/>
  <c r="A134" i="15"/>
  <c r="A133" i="15"/>
  <c r="A132" i="15"/>
  <c r="A131" i="15"/>
  <c r="A130" i="15"/>
  <c r="A129" i="1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A2" i="15"/>
  <c r="E9" i="1" l="1"/>
  <c r="D9" i="1"/>
  <c r="D2" i="14" a="1"/>
  <c r="D2" i="14" s="1"/>
  <c r="G2" i="14" l="1"/>
  <c r="F2" i="14"/>
  <c r="E2" i="14"/>
  <c r="C13" i="14"/>
  <c r="C12" i="14"/>
  <c r="C11" i="14"/>
  <c r="C10" i="14"/>
  <c r="C9" i="14"/>
  <c r="C8" i="14"/>
  <c r="C7" i="14"/>
  <c r="C6" i="14"/>
  <c r="C5" i="14"/>
  <c r="C4" i="14"/>
  <c r="C3" i="14"/>
  <c r="A13" i="14"/>
  <c r="B13" i="14" s="1"/>
  <c r="A12" i="14"/>
  <c r="B12" i="14" s="1"/>
  <c r="A11" i="14"/>
  <c r="B11" i="14" s="1"/>
  <c r="A10" i="14"/>
  <c r="B10" i="14" s="1"/>
  <c r="A9" i="14"/>
  <c r="B9" i="14" s="1"/>
  <c r="A8" i="14"/>
  <c r="B8" i="14" s="1"/>
  <c r="A7" i="14"/>
  <c r="B7" i="14" s="1"/>
  <c r="A6" i="14"/>
  <c r="B6" i="14" s="1"/>
  <c r="A5" i="14"/>
  <c r="B5" i="14" s="1"/>
  <c r="A4" i="14"/>
  <c r="B4" i="14" s="1"/>
  <c r="A3" i="14"/>
  <c r="B3" i="14" s="1"/>
  <c r="G14" i="14" l="1"/>
  <c r="D14" i="14"/>
  <c r="E14" i="14"/>
  <c r="F14" i="14"/>
  <c r="B14" i="14"/>
  <c r="F5" i="10"/>
  <c r="G5" i="10" s="1"/>
  <c r="H5" i="10" s="1"/>
  <c r="I5" i="10" s="1"/>
  <c r="J5" i="10" s="1"/>
  <c r="K5" i="10" s="1"/>
  <c r="L5" i="10" s="1"/>
  <c r="M5" i="10" s="1"/>
  <c r="N5" i="10" s="1"/>
  <c r="O5" i="10" s="1"/>
  <c r="P5" i="10" s="1"/>
  <c r="Q5" i="10" s="1"/>
  <c r="R5" i="10" s="1"/>
  <c r="S5" i="10" s="1"/>
  <c r="T5" i="10" s="1"/>
  <c r="U5" i="10" s="1"/>
  <c r="V5" i="10" s="1"/>
  <c r="W5" i="10" s="1"/>
  <c r="X5" i="10" s="1"/>
  <c r="Y5" i="10" s="1"/>
  <c r="Z5" i="10" s="1"/>
  <c r="AA5" i="10" s="1"/>
  <c r="AB5" i="10" s="1"/>
  <c r="AC5" i="10" s="1"/>
  <c r="E11" i="13" l="1"/>
  <c r="E10" i="13"/>
  <c r="E9" i="13"/>
  <c r="E8" i="13"/>
  <c r="E7" i="13"/>
  <c r="E6" i="13"/>
  <c r="E5" i="13"/>
  <c r="E4" i="13"/>
  <c r="E3" i="13"/>
  <c r="E2" i="13"/>
  <c r="A35" i="4" l="1"/>
  <c r="A34" i="4"/>
  <c r="A32" i="4"/>
  <c r="A46" i="4"/>
  <c r="A45" i="4"/>
  <c r="A43" i="4"/>
  <c r="A47" i="4"/>
  <c r="A39" i="4"/>
  <c r="A40" i="4"/>
  <c r="A38" i="4"/>
  <c r="A37" i="4"/>
  <c r="A36" i="4"/>
  <c r="A29" i="4"/>
  <c r="A30" i="4"/>
  <c r="A28" i="4"/>
  <c r="A27" i="4"/>
  <c r="A26" i="4"/>
  <c r="A57" i="4"/>
  <c r="A42" i="4"/>
  <c r="B57" i="4" l="1"/>
  <c r="B27" i="4"/>
  <c r="B36" i="4"/>
  <c r="B39" i="4"/>
  <c r="B46" i="4"/>
  <c r="B28" i="4"/>
  <c r="B37" i="4"/>
  <c r="B47" i="4"/>
  <c r="B32" i="4"/>
  <c r="B30" i="4"/>
  <c r="B38" i="4"/>
  <c r="B43" i="4"/>
  <c r="B34" i="4"/>
  <c r="B42" i="4"/>
  <c r="B26" i="4"/>
  <c r="B29" i="4"/>
  <c r="B40" i="4"/>
  <c r="B45" i="4"/>
  <c r="B35" i="4"/>
  <c r="A25" i="4"/>
  <c r="A24" i="4"/>
  <c r="A13" i="4"/>
  <c r="A20" i="4"/>
  <c r="A19" i="4"/>
  <c r="A12" i="4"/>
  <c r="A11" i="4"/>
  <c r="B12" i="4" l="1"/>
  <c r="B24" i="4"/>
  <c r="B19" i="4"/>
  <c r="B25" i="4"/>
  <c r="B20" i="4"/>
  <c r="B11" i="4"/>
  <c r="B13" i="4"/>
  <c r="A6" i="4"/>
  <c r="B6" i="4" l="1"/>
  <c r="F13" i="6"/>
  <c r="F12" i="6"/>
  <c r="F11" i="6"/>
  <c r="F10" i="6"/>
  <c r="F9" i="6"/>
  <c r="F8" i="6"/>
  <c r="F7" i="6"/>
  <c r="F6" i="6"/>
  <c r="F5" i="6"/>
  <c r="F4" i="6"/>
  <c r="F3" i="6" l="1"/>
  <c r="A7" i="10" l="1"/>
  <c r="C2" i="15" s="1"/>
  <c r="A77" i="10"/>
  <c r="A76" i="10"/>
  <c r="A75"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C7" i="15" l="1"/>
  <c r="C18" i="15"/>
  <c r="C14" i="15"/>
  <c r="C10" i="15"/>
  <c r="C6" i="15"/>
  <c r="C21" i="15"/>
  <c r="C17" i="15"/>
  <c r="C13" i="15"/>
  <c r="C9" i="15"/>
  <c r="C5" i="15"/>
  <c r="C20" i="15"/>
  <c r="C16" i="15"/>
  <c r="C12" i="15"/>
  <c r="C8" i="15"/>
  <c r="C4" i="15"/>
  <c r="C19" i="15"/>
  <c r="C15" i="15"/>
  <c r="C11" i="15"/>
  <c r="C281" i="15"/>
  <c r="C277" i="15"/>
  <c r="C273" i="15"/>
  <c r="C269" i="15"/>
  <c r="C265" i="15"/>
  <c r="C261" i="15"/>
  <c r="C257" i="15"/>
  <c r="C253" i="15"/>
  <c r="C249" i="15"/>
  <c r="C245" i="15"/>
  <c r="C241" i="15"/>
  <c r="C237" i="15"/>
  <c r="C280" i="15"/>
  <c r="C279" i="15"/>
  <c r="C275" i="15"/>
  <c r="C271" i="15"/>
  <c r="C267" i="15"/>
  <c r="C263" i="15"/>
  <c r="C259" i="15"/>
  <c r="C255" i="15"/>
  <c r="C251" i="15"/>
  <c r="C247" i="15"/>
  <c r="C243" i="15"/>
  <c r="C239" i="15"/>
  <c r="C235" i="15"/>
  <c r="C231" i="15"/>
  <c r="C227" i="15"/>
  <c r="C223" i="15"/>
  <c r="C219" i="15"/>
  <c r="C215" i="15"/>
  <c r="C211" i="15"/>
  <c r="C207" i="15"/>
  <c r="C203" i="15"/>
  <c r="C199" i="15"/>
  <c r="C195" i="15"/>
  <c r="C191" i="15"/>
  <c r="C187" i="15"/>
  <c r="C183" i="15"/>
  <c r="C179" i="15"/>
  <c r="C175" i="15"/>
  <c r="C171" i="15"/>
  <c r="C167" i="15"/>
  <c r="C163" i="15"/>
  <c r="C159" i="15"/>
  <c r="C155" i="15"/>
  <c r="C151" i="15"/>
  <c r="C147" i="15"/>
  <c r="C143" i="15"/>
  <c r="C139" i="15"/>
  <c r="C135" i="15"/>
  <c r="C131" i="15"/>
  <c r="C127" i="15"/>
  <c r="C123" i="15"/>
  <c r="C119" i="15"/>
  <c r="C115" i="15"/>
  <c r="C111" i="15"/>
  <c r="C107" i="15"/>
  <c r="C103" i="15"/>
  <c r="C99" i="15"/>
  <c r="C95" i="15"/>
  <c r="C91" i="15"/>
  <c r="C87" i="15"/>
  <c r="C83" i="15"/>
  <c r="C79" i="15"/>
  <c r="C75" i="15"/>
  <c r="C71" i="15"/>
  <c r="C67" i="15"/>
  <c r="C63" i="15"/>
  <c r="C59" i="15"/>
  <c r="C55" i="15"/>
  <c r="C51" i="15"/>
  <c r="C47" i="15"/>
  <c r="C43" i="15"/>
  <c r="C39" i="15"/>
  <c r="C35" i="15"/>
  <c r="C31" i="15"/>
  <c r="C27" i="15"/>
  <c r="C23" i="15"/>
  <c r="C278" i="15"/>
  <c r="C274" i="15"/>
  <c r="C270" i="15"/>
  <c r="C266" i="15"/>
  <c r="C262" i="15"/>
  <c r="C258" i="15"/>
  <c r="C254" i="15"/>
  <c r="C250" i="15"/>
  <c r="C246" i="15"/>
  <c r="C242" i="15"/>
  <c r="C238" i="15"/>
  <c r="C234" i="15"/>
  <c r="C230" i="15"/>
  <c r="C226" i="15"/>
  <c r="C222" i="15"/>
  <c r="C218" i="15"/>
  <c r="C214" i="15"/>
  <c r="C210" i="15"/>
  <c r="C206" i="15"/>
  <c r="C202" i="15"/>
  <c r="C276" i="15"/>
  <c r="C260" i="15"/>
  <c r="C244" i="15"/>
  <c r="C232" i="15"/>
  <c r="C224" i="15"/>
  <c r="C216" i="15"/>
  <c r="C208" i="15"/>
  <c r="C200" i="15"/>
  <c r="C194" i="15"/>
  <c r="C189" i="15"/>
  <c r="C184" i="15"/>
  <c r="C178" i="15"/>
  <c r="C173" i="15"/>
  <c r="C168" i="15"/>
  <c r="C162" i="15"/>
  <c r="C157" i="15"/>
  <c r="C152" i="15"/>
  <c r="C146" i="15"/>
  <c r="C141" i="15"/>
  <c r="C136" i="15"/>
  <c r="C130" i="15"/>
  <c r="C125" i="15"/>
  <c r="C120" i="15"/>
  <c r="C114" i="15"/>
  <c r="C109" i="15"/>
  <c r="C104" i="15"/>
  <c r="C98" i="15"/>
  <c r="C93" i="15"/>
  <c r="C88" i="15"/>
  <c r="C82" i="15"/>
  <c r="C77" i="15"/>
  <c r="C72" i="15"/>
  <c r="C66" i="15"/>
  <c r="C61" i="15"/>
  <c r="C56" i="15"/>
  <c r="C50" i="15"/>
  <c r="C45" i="15"/>
  <c r="C40" i="15"/>
  <c r="C34" i="15"/>
  <c r="C29" i="15"/>
  <c r="C24" i="15"/>
  <c r="C272" i="15"/>
  <c r="C256" i="15"/>
  <c r="C240" i="15"/>
  <c r="C229" i="15"/>
  <c r="C221" i="15"/>
  <c r="C213" i="15"/>
  <c r="C205" i="15"/>
  <c r="C198" i="15"/>
  <c r="C193" i="15"/>
  <c r="C188" i="15"/>
  <c r="C182" i="15"/>
  <c r="C177" i="15"/>
  <c r="C172" i="15"/>
  <c r="C166" i="15"/>
  <c r="C161" i="15"/>
  <c r="C156" i="15"/>
  <c r="C150" i="15"/>
  <c r="C145" i="15"/>
  <c r="C140" i="15"/>
  <c r="C134" i="15"/>
  <c r="C129" i="15"/>
  <c r="C124" i="15"/>
  <c r="C118" i="15"/>
  <c r="C113" i="15"/>
  <c r="C108" i="15"/>
  <c r="C102" i="15"/>
  <c r="C97" i="15"/>
  <c r="C92" i="15"/>
  <c r="C86" i="15"/>
  <c r="C81" i="15"/>
  <c r="C76" i="15"/>
  <c r="C70" i="15"/>
  <c r="C65" i="15"/>
  <c r="C60" i="15"/>
  <c r="C54" i="15"/>
  <c r="C49" i="15"/>
  <c r="C44" i="15"/>
  <c r="C38" i="15"/>
  <c r="C33" i="15"/>
  <c r="C28" i="15"/>
  <c r="C22" i="15"/>
  <c r="C268" i="15"/>
  <c r="C252" i="15"/>
  <c r="C236" i="15"/>
  <c r="C264" i="15"/>
  <c r="C225" i="15"/>
  <c r="C209" i="15"/>
  <c r="C196" i="15"/>
  <c r="C185" i="15"/>
  <c r="C174" i="15"/>
  <c r="C164" i="15"/>
  <c r="C153" i="15"/>
  <c r="C142" i="15"/>
  <c r="C132" i="15"/>
  <c r="C121" i="15"/>
  <c r="C110" i="15"/>
  <c r="C100" i="15"/>
  <c r="C89" i="15"/>
  <c r="C78" i="15"/>
  <c r="C68" i="15"/>
  <c r="C57" i="15"/>
  <c r="C46" i="15"/>
  <c r="C36" i="15"/>
  <c r="C25" i="15"/>
  <c r="C233" i="15"/>
  <c r="C217" i="15"/>
  <c r="C201" i="15"/>
  <c r="C190" i="15"/>
  <c r="C169" i="15"/>
  <c r="C148" i="15"/>
  <c r="C126" i="15"/>
  <c r="C105" i="15"/>
  <c r="C84" i="15"/>
  <c r="C62" i="15"/>
  <c r="C41" i="15"/>
  <c r="C228" i="15"/>
  <c r="C212" i="15"/>
  <c r="C197" i="15"/>
  <c r="C186" i="15"/>
  <c r="C176" i="15"/>
  <c r="C165" i="15"/>
  <c r="C154" i="15"/>
  <c r="C144" i="15"/>
  <c r="C122" i="15"/>
  <c r="C101" i="15"/>
  <c r="C80" i="15"/>
  <c r="C58" i="15"/>
  <c r="C37" i="15"/>
  <c r="C248" i="15"/>
  <c r="C220" i="15"/>
  <c r="C204" i="15"/>
  <c r="C192" i="15"/>
  <c r="C181" i="15"/>
  <c r="C170" i="15"/>
  <c r="C160" i="15"/>
  <c r="C149" i="15"/>
  <c r="C138" i="15"/>
  <c r="C128" i="15"/>
  <c r="C117" i="15"/>
  <c r="C106" i="15"/>
  <c r="C96" i="15"/>
  <c r="C85" i="15"/>
  <c r="C74" i="15"/>
  <c r="C64" i="15"/>
  <c r="C53" i="15"/>
  <c r="C42" i="15"/>
  <c r="C32" i="15"/>
  <c r="C3" i="15"/>
  <c r="C180" i="15"/>
  <c r="C158" i="15"/>
  <c r="C137" i="15"/>
  <c r="C116" i="15"/>
  <c r="C94" i="15"/>
  <c r="C73" i="15"/>
  <c r="C52" i="15"/>
  <c r="C30" i="15"/>
  <c r="C133" i="15"/>
  <c r="C112" i="15"/>
  <c r="C90" i="15"/>
  <c r="C69" i="15"/>
  <c r="C48" i="15"/>
  <c r="C26" i="15"/>
  <c r="A70" i="4"/>
  <c r="B70" i="4" l="1"/>
  <c r="A68" i="4"/>
  <c r="B68" i="4" l="1"/>
  <c r="A2" i="4"/>
  <c r="B2" i="4" l="1"/>
  <c r="A58" i="4"/>
  <c r="B58" i="4" l="1"/>
  <c r="A49" i="4"/>
  <c r="B49" i="4" l="1"/>
  <c r="A23" i="4"/>
  <c r="B23" i="4" l="1"/>
  <c r="A76" i="4"/>
  <c r="A75" i="4"/>
  <c r="A74" i="4"/>
  <c r="A73" i="4"/>
  <c r="A72" i="4"/>
  <c r="A69" i="4"/>
  <c r="A59" i="4"/>
  <c r="A56" i="4"/>
  <c r="A55" i="4"/>
  <c r="A53" i="4"/>
  <c r="A52" i="4"/>
  <c r="A48" i="4"/>
  <c r="A41" i="4"/>
  <c r="A17" i="4"/>
  <c r="B72" i="4" l="1"/>
  <c r="B48" i="4"/>
  <c r="B56" i="4"/>
  <c r="B76" i="4"/>
  <c r="B52" i="4"/>
  <c r="B59" i="4"/>
  <c r="B73" i="4"/>
  <c r="B41" i="4"/>
  <c r="B55" i="4"/>
  <c r="B75" i="4"/>
  <c r="B53" i="4"/>
  <c r="B69" i="4"/>
  <c r="B74" i="4"/>
  <c r="B17" i="4"/>
  <c r="A15" i="4"/>
  <c r="A9" i="4"/>
  <c r="A10" i="4"/>
  <c r="A8"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22" i="4"/>
  <c r="A21" i="4"/>
  <c r="A16" i="4"/>
  <c r="A7" i="4"/>
  <c r="B77" i="4" l="1"/>
  <c r="B85" i="4"/>
  <c r="B93" i="4"/>
  <c r="B105" i="4"/>
  <c r="B113" i="4"/>
  <c r="B125" i="4"/>
  <c r="B133" i="4"/>
  <c r="B141" i="4"/>
  <c r="B149" i="4"/>
  <c r="B157" i="4"/>
  <c r="B165" i="4"/>
  <c r="B169" i="4"/>
  <c r="B90" i="4"/>
  <c r="B94" i="4"/>
  <c r="B98" i="4"/>
  <c r="B102" i="4"/>
  <c r="B106" i="4"/>
  <c r="B110" i="4"/>
  <c r="B114" i="4"/>
  <c r="B118" i="4"/>
  <c r="B122" i="4"/>
  <c r="B126" i="4"/>
  <c r="B130" i="4"/>
  <c r="B134" i="4"/>
  <c r="B138" i="4"/>
  <c r="B142" i="4"/>
  <c r="B146" i="4"/>
  <c r="B150" i="4"/>
  <c r="B154" i="4"/>
  <c r="B158" i="4"/>
  <c r="B162" i="4"/>
  <c r="B166" i="4"/>
  <c r="B170" i="4"/>
  <c r="B21" i="4"/>
  <c r="B79" i="4"/>
  <c r="B83" i="4"/>
  <c r="B87" i="4"/>
  <c r="B91" i="4"/>
  <c r="B95" i="4"/>
  <c r="B99" i="4"/>
  <c r="B103" i="4"/>
  <c r="B107" i="4"/>
  <c r="B111" i="4"/>
  <c r="B115" i="4"/>
  <c r="B119" i="4"/>
  <c r="B123" i="4"/>
  <c r="B127" i="4"/>
  <c r="B131" i="4"/>
  <c r="B135" i="4"/>
  <c r="B139" i="4"/>
  <c r="B143" i="4"/>
  <c r="B147" i="4"/>
  <c r="B151" i="4"/>
  <c r="B155" i="4"/>
  <c r="B159" i="4"/>
  <c r="B163" i="4"/>
  <c r="B167" i="4"/>
  <c r="B8" i="4"/>
  <c r="B81" i="4"/>
  <c r="B89" i="4"/>
  <c r="B97" i="4"/>
  <c r="B101" i="4"/>
  <c r="B109" i="4"/>
  <c r="B117" i="4"/>
  <c r="B121" i="4"/>
  <c r="B129" i="4"/>
  <c r="B137" i="4"/>
  <c r="B145" i="4"/>
  <c r="B153" i="4"/>
  <c r="B161" i="4"/>
  <c r="B78" i="4"/>
  <c r="B82" i="4"/>
  <c r="B86" i="4"/>
  <c r="B22" i="4"/>
  <c r="B80" i="4"/>
  <c r="B84" i="4"/>
  <c r="B88" i="4"/>
  <c r="B92" i="4"/>
  <c r="B96" i="4"/>
  <c r="B100" i="4"/>
  <c r="B104" i="4"/>
  <c r="B108" i="4"/>
  <c r="B112" i="4"/>
  <c r="B116" i="4"/>
  <c r="B120" i="4"/>
  <c r="B124" i="4"/>
  <c r="B128" i="4"/>
  <c r="B132" i="4"/>
  <c r="B136" i="4"/>
  <c r="B140" i="4"/>
  <c r="B144" i="4"/>
  <c r="B148" i="4"/>
  <c r="B152" i="4"/>
  <c r="B156" i="4"/>
  <c r="B160" i="4"/>
  <c r="B164" i="4"/>
  <c r="B168" i="4"/>
  <c r="B10" i="4"/>
  <c r="B9" i="4"/>
  <c r="B16" i="4"/>
  <c r="B15" i="4"/>
  <c r="B7" i="4"/>
</calcChain>
</file>

<file path=xl/comments1.xml><?xml version="1.0" encoding="utf-8"?>
<comments xmlns="http://schemas.openxmlformats.org/spreadsheetml/2006/main">
  <authors>
    <author>Autor</author>
  </authors>
  <commentList>
    <comment ref="D8" authorId="0" shapeId="0">
      <text>
        <r>
          <rPr>
            <b/>
            <sz val="9"/>
            <color indexed="81"/>
            <rFont val="Segoe UI"/>
            <family val="2"/>
          </rPr>
          <t>Autor:</t>
        </r>
        <r>
          <rPr>
            <sz val="9"/>
            <color indexed="81"/>
            <rFont val="Segoe UI"/>
            <family val="2"/>
          </rPr>
          <t xml:space="preserve">
Safety primarily means protecting a person against harm. It includes also the subjective feeling of "being well protected". </t>
        </r>
      </text>
    </comment>
    <comment ref="F8" authorId="0" shapeId="0">
      <text>
        <r>
          <rPr>
            <b/>
            <sz val="9"/>
            <color indexed="81"/>
            <rFont val="Segoe UI"/>
            <family val="2"/>
          </rPr>
          <t>Autor:</t>
        </r>
        <r>
          <rPr>
            <sz val="9"/>
            <color indexed="81"/>
            <rFont val="Segoe UI"/>
            <family val="2"/>
          </rPr>
          <t xml:space="preserve">
Care is given and decisions and responsibility are taken on behalf of the other – the one in need – to the extent that that person is no longer able to do these things themselves.</t>
        </r>
      </text>
    </comment>
    <comment ref="H8" authorId="0" shapeId="0">
      <text>
        <r>
          <rPr>
            <b/>
            <sz val="9"/>
            <color indexed="81"/>
            <rFont val="Segoe UI"/>
            <family val="2"/>
          </rPr>
          <t>Autor:</t>
        </r>
        <r>
          <rPr>
            <sz val="9"/>
            <color indexed="81"/>
            <rFont val="Segoe UI"/>
            <family val="2"/>
          </rPr>
          <t xml:space="preserve">
The term autonomy […] is nowadays often equated with an individual’s maximum freedom of decision and action.</t>
        </r>
      </text>
    </comment>
    <comment ref="J8" authorId="0" shapeId="0">
      <text>
        <r>
          <rPr>
            <b/>
            <sz val="9"/>
            <color indexed="81"/>
            <rFont val="Segoe UI"/>
            <family val="2"/>
          </rPr>
          <t>Autor:</t>
        </r>
        <r>
          <rPr>
            <sz val="9"/>
            <color indexed="81"/>
            <rFont val="Segoe UI"/>
            <family val="2"/>
          </rPr>
          <t xml:space="preserve">
Participation […] means providing people with access, rights, services, and assets that enable them to live together with other people in society.</t>
        </r>
      </text>
    </comment>
    <comment ref="L8" authorId="0" shapeId="0">
      <text>
        <r>
          <rPr>
            <b/>
            <sz val="9"/>
            <color indexed="81"/>
            <rFont val="Segoe UI"/>
            <family val="2"/>
          </rPr>
          <t>Autor:</t>
        </r>
        <r>
          <rPr>
            <sz val="9"/>
            <color indexed="81"/>
            <rFont val="Segoe UI"/>
            <family val="2"/>
          </rPr>
          <t xml:space="preserve">
(1) Transparency: inform data subject about data use. 
(2) Purpose limitation / minimization: Store as few data as possible, and use it only for its dedicated purpose. 
(3) Integrity: prevent unauthorized access. 
(4) The right to be forgotten.</t>
        </r>
      </text>
    </comment>
    <comment ref="N8" authorId="0" shapeId="0">
      <text>
        <r>
          <rPr>
            <b/>
            <sz val="9"/>
            <color indexed="81"/>
            <rFont val="Segoe UI"/>
            <family val="2"/>
          </rPr>
          <t>Autor:</t>
        </r>
        <r>
          <rPr>
            <sz val="9"/>
            <color indexed="81"/>
            <rFont val="Segoe UI"/>
            <family val="2"/>
          </rPr>
          <t xml:space="preserve">
Fairness means that the same standards are applied to everyone, and that ressources are provided according to degree of neediness. </t>
        </r>
      </text>
    </comment>
    <comment ref="P8" authorId="0" shapeId="0">
      <text>
        <r>
          <rPr>
            <b/>
            <sz val="9"/>
            <color indexed="81"/>
            <rFont val="Segoe UI"/>
            <family val="2"/>
          </rPr>
          <t>Autor:</t>
        </r>
        <r>
          <rPr>
            <sz val="9"/>
            <color indexed="81"/>
            <rFont val="Segoe UI"/>
            <family val="2"/>
          </rPr>
          <t xml:space="preserve">
A persons' freedom to evaluate and perceive herself according to her own personal mental model. Strongly related is the perceived self-efficacy, the expectation to successfully carry out intended acts based on one's competences. </t>
        </r>
      </text>
    </comment>
    <comment ref="R8" authorId="0" shapeId="0">
      <text>
        <r>
          <rPr>
            <b/>
            <sz val="9"/>
            <color indexed="81"/>
            <rFont val="Segoe UI"/>
            <family val="2"/>
          </rPr>
          <t>Autor:</t>
        </r>
        <r>
          <rPr>
            <sz val="9"/>
            <color indexed="81"/>
            <rFont val="Segoe UI"/>
            <family val="2"/>
          </rPr>
          <t xml:space="preserve">
Does the system save effort (time, money, responsibilities, …), or does it require additional resources for its operation (compared to a situation without the system)?</t>
        </r>
      </text>
    </comment>
    <comment ref="T8" authorId="0" shapeId="0">
      <text>
        <r>
          <rPr>
            <b/>
            <sz val="9"/>
            <color indexed="81"/>
            <rFont val="Segoe UI"/>
            <family val="2"/>
          </rPr>
          <t>Autor:</t>
        </r>
        <r>
          <rPr>
            <sz val="9"/>
            <color indexed="81"/>
            <rFont val="Segoe UI"/>
            <family val="2"/>
          </rPr>
          <t xml:space="preserve">
Profitability means an organisation's ability to fund its operations and strategic development out of its revenues. </t>
        </r>
      </text>
    </comment>
    <comment ref="V8" authorId="0" shapeId="0">
      <text>
        <r>
          <rPr>
            <b/>
            <sz val="9"/>
            <color indexed="81"/>
            <rFont val="Segoe UI"/>
            <family val="2"/>
          </rPr>
          <t>Autor:</t>
        </r>
        <r>
          <rPr>
            <sz val="9"/>
            <color indexed="81"/>
            <rFont val="Segoe UI"/>
            <family val="2"/>
          </rPr>
          <t xml:space="preserve">
Opportunity describes an organisation's ability and position to drive innovation, expand its market share, improve customer loyalty, or pursue any other strategic goals.</t>
        </r>
      </text>
    </comment>
    <comment ref="A11" authorId="0" shapeId="0">
      <text>
        <r>
          <rPr>
            <b/>
            <sz val="9"/>
            <color indexed="81"/>
            <rFont val="Segoe UI"/>
            <family val="2"/>
          </rPr>
          <t>Autor:</t>
        </r>
        <r>
          <rPr>
            <sz val="9"/>
            <color indexed="81"/>
            <rFont val="Segoe UI"/>
            <family val="2"/>
          </rPr>
          <t xml:space="preserve">
Employees in locations with an alert button. For instance, a nurse, a doctor's assistant, or shop assistant.
</t>
        </r>
      </text>
    </comment>
    <comment ref="A12" authorId="0" shapeId="0">
      <text>
        <r>
          <rPr>
            <b/>
            <sz val="9"/>
            <color indexed="81"/>
            <rFont val="Segoe UI"/>
            <family val="2"/>
          </rPr>
          <t>Autor:</t>
        </r>
        <r>
          <rPr>
            <sz val="9"/>
            <color indexed="81"/>
            <rFont val="Segoe UI"/>
            <family val="2"/>
          </rPr>
          <t xml:space="preserve">
E.g. a medical practice, a café, or a bakery.</t>
        </r>
      </text>
    </comment>
    <comment ref="A15" authorId="0" shapeId="0">
      <text>
        <r>
          <rPr>
            <b/>
            <sz val="9"/>
            <color indexed="81"/>
            <rFont val="Segoe UI"/>
            <family val="2"/>
          </rPr>
          <t>Autor:</t>
        </r>
        <r>
          <rPr>
            <sz val="9"/>
            <color indexed="81"/>
            <rFont val="Segoe UI"/>
            <family val="2"/>
          </rPr>
          <t xml:space="preserve">
(as an organisation required to operate in a profitable or at least cost-covering manner)</t>
        </r>
      </text>
    </comment>
  </commentList>
</comments>
</file>

<file path=xl/comments2.xml><?xml version="1.0" encoding="utf-8"?>
<comments xmlns="http://schemas.openxmlformats.org/spreadsheetml/2006/main">
  <authors>
    <author>Autor</author>
  </authors>
  <commentList>
    <comment ref="F2" authorId="0" shapeId="0">
      <text>
        <r>
          <rPr>
            <sz val="9"/>
            <color indexed="81"/>
            <rFont val="Segoe UI"/>
            <family val="2"/>
          </rPr>
          <t xml:space="preserve">Safety primarily means protecting a person against harm. It includes also the subjective feeling of "being well protected". </t>
        </r>
      </text>
    </comment>
    <comment ref="C3" authorId="0" shapeId="0">
      <text>
        <r>
          <rPr>
            <sz val="9"/>
            <color indexed="81"/>
            <rFont val="Segoe UI"/>
            <family val="2"/>
          </rPr>
          <t>Several contact persons, not all living nearby, not all frequently available</t>
        </r>
      </text>
    </comment>
    <comment ref="F3" authorId="0" shapeId="0">
      <text>
        <r>
          <rPr>
            <sz val="9"/>
            <color indexed="81"/>
            <rFont val="Segoe UI"/>
            <family val="2"/>
          </rPr>
          <t xml:space="preserve">Safety primarily means protecting a person against harm. It includes also the subjective feeling of "being well protected". </t>
        </r>
      </text>
    </comment>
    <comment ref="F4" authorId="0" shapeId="0">
      <text>
        <r>
          <rPr>
            <sz val="9"/>
            <color indexed="81"/>
            <rFont val="Segoe UI"/>
            <family val="2"/>
          </rPr>
          <t xml:space="preserve">Safety primarily means protecting a person against harm. It includes also the subjective feeling of "being well protected". </t>
        </r>
      </text>
    </comment>
    <comment ref="F5" authorId="0" shapeId="0">
      <text>
        <r>
          <rPr>
            <sz val="9"/>
            <color indexed="81"/>
            <rFont val="Segoe UI"/>
            <family val="2"/>
          </rPr>
          <t xml:space="preserve">Safety primarily means protecting a person against harm. It includes also the subjective feeling of "being well protected". </t>
        </r>
      </text>
    </comment>
    <comment ref="C6" authorId="0" shapeId="0">
      <text>
        <r>
          <rPr>
            <sz val="9"/>
            <color indexed="81"/>
            <rFont val="Segoe UI"/>
            <family val="2"/>
          </rPr>
          <t>Person suffering from dementia lives in in a nursing home</t>
        </r>
      </text>
    </comment>
    <comment ref="F6" authorId="0" shapeId="0">
      <text>
        <r>
          <rPr>
            <sz val="9"/>
            <color indexed="81"/>
            <rFont val="Segoe UI"/>
            <family val="2"/>
          </rPr>
          <t>Care is given and decisions and responsibility are taken on behalf of the other – the one in need – to the extent that that person is no longer able to do these things themselves [...].</t>
        </r>
      </text>
    </comment>
    <comment ref="F7" authorId="0" shapeId="0">
      <text>
        <r>
          <rPr>
            <sz val="9"/>
            <color indexed="81"/>
            <rFont val="Segoe UI"/>
            <family val="2"/>
          </rPr>
          <t>The term autonomy […] is nowadays often equated with an individual’s maximum freedom of decision and action.</t>
        </r>
      </text>
    </comment>
    <comment ref="F8" authorId="0" shapeId="0">
      <text>
        <r>
          <rPr>
            <sz val="9"/>
            <color indexed="81"/>
            <rFont val="Segoe UI"/>
            <family val="2"/>
          </rPr>
          <t>The term autonomy […] is nowadays often equated with an individual’s maximum freedom of decision and action.</t>
        </r>
      </text>
    </comment>
    <comment ref="F9" authorId="0" shapeId="0">
      <text>
        <r>
          <rPr>
            <sz val="9"/>
            <color indexed="81"/>
            <rFont val="Segoe UI"/>
            <family val="2"/>
          </rPr>
          <t>Participation […] means providing people with access, rights, services, and assets that enable them to live together with other people in society.</t>
        </r>
      </text>
    </comment>
    <comment ref="F10"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1"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2"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3"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14" authorId="0" shapeId="0">
      <text>
        <r>
          <rPr>
            <sz val="9"/>
            <color indexed="81"/>
            <rFont val="Segoe UI"/>
            <family val="2"/>
          </rPr>
          <t>One main contact person living in same household or nearby, frequently available, and capable of helping</t>
        </r>
      </text>
    </comment>
    <comment ref="F14" authorId="0" shapeId="0">
      <text>
        <r>
          <rPr>
            <sz val="9"/>
            <color indexed="81"/>
            <rFont val="Segoe UI"/>
            <family val="2"/>
          </rPr>
          <t>Care is given and decisions and responsibility are taken on behalf of the other – the one in need – to the extent that that person is no longer able to do these things themselves [...].</t>
        </r>
      </text>
    </comment>
    <comment ref="F15" authorId="0" shapeId="0">
      <text>
        <r>
          <rPr>
            <sz val="9"/>
            <color indexed="81"/>
            <rFont val="Segoe UI"/>
            <family val="2"/>
          </rPr>
          <t>The term autonomy […] is nowadays often equated with an individual’s maximum freedom of decision and action.</t>
        </r>
      </text>
    </comment>
    <comment ref="C16" authorId="0" shapeId="0">
      <text>
        <r>
          <rPr>
            <sz val="9"/>
            <color indexed="81"/>
            <rFont val="Segoe UI"/>
            <family val="2"/>
          </rPr>
          <t>One main contact person living in same household or nearby, frequently available, and capable of helping</t>
        </r>
      </text>
    </comment>
    <comment ref="F16" authorId="0" shapeId="0">
      <text>
        <r>
          <rPr>
            <sz val="9"/>
            <color indexed="81"/>
            <rFont val="Segoe UI"/>
            <family val="2"/>
          </rPr>
          <t>The term autonomy […] is nowadays often equated with an individual’s maximum freedom of decision and action.</t>
        </r>
      </text>
    </comment>
    <comment ref="F17"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8"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9"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0"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21" authorId="0" shapeId="0">
      <text>
        <r>
          <rPr>
            <sz val="9"/>
            <color indexed="81"/>
            <rFont val="Segoe UI"/>
            <family val="2"/>
          </rPr>
          <t>Several contact persons, not all living nearby, not all frequently available</t>
        </r>
      </text>
    </comment>
    <comment ref="F21" authorId="0" shapeId="0">
      <text>
        <r>
          <rPr>
            <sz val="9"/>
            <color indexed="81"/>
            <rFont val="Segoe UI"/>
            <family val="2"/>
          </rPr>
          <t xml:space="preserve">Fairness means that the same standards are applied to everyone, and that ressources are provided according to degree of neediness. </t>
        </r>
      </text>
    </comment>
    <comment ref="F22" authorId="0" shapeId="0">
      <text>
        <r>
          <rPr>
            <sz val="9"/>
            <color indexed="81"/>
            <rFont val="Segoe UI"/>
            <family val="2"/>
          </rPr>
          <t>Does the system save effort (time, money, responsibilities, …), or does it require additional resources for its operation (compared to a situation without the system)?</t>
        </r>
      </text>
    </comment>
    <comment ref="F23" authorId="0" shapeId="0">
      <text>
        <r>
          <rPr>
            <sz val="9"/>
            <color indexed="81"/>
            <rFont val="Segoe UI"/>
            <family val="2"/>
          </rPr>
          <t>Does the system save effort (time, money, responsibilities, …), or does it require additional resources for its operation (compared to a situation without the system)?</t>
        </r>
      </text>
    </comment>
    <comment ref="F24" authorId="0" shapeId="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25" authorId="0" shapeId="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26"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7"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8"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9" authorId="0" shapeId="0">
      <text>
        <r>
          <rPr>
            <sz val="9"/>
            <color indexed="81"/>
            <rFont val="Segoe UI"/>
            <family val="2"/>
          </rPr>
          <t>Does the system save effort (time, money, responsibilities, …), or does it require additional resources for its operation (compared to a situation without the system)?</t>
        </r>
      </text>
    </comment>
    <comment ref="F30" authorId="0" shapeId="0">
      <text>
        <r>
          <rPr>
            <sz val="9"/>
            <color indexed="81"/>
            <rFont val="Segoe UI"/>
            <family val="2"/>
          </rPr>
          <t>Does the system save effort (time, money, responsibilities, …), or does it require additional resources for its operation (compared to a situation without the system)?</t>
        </r>
      </text>
    </comment>
    <comment ref="F31" authorId="0" shapeId="0">
      <text>
        <r>
          <rPr>
            <sz val="9"/>
            <color indexed="81"/>
            <rFont val="Segoe UI"/>
            <family val="2"/>
          </rPr>
          <t>The term autonomy […] is nowadays often equated with an individual’s maximum freedom of decision and action.</t>
        </r>
      </text>
    </comment>
    <comment ref="F32"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33"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34"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35"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36" authorId="0" shapeId="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37" authorId="0" shapeId="0">
      <text>
        <r>
          <rPr>
            <sz val="9"/>
            <color indexed="81"/>
            <rFont val="Segoe UI"/>
            <family val="2"/>
          </rPr>
          <t>Does the system save effort (time, money, responsibilities, …), or does it require additional resources for its operation (compared to a situation without the system)?</t>
        </r>
      </text>
    </comment>
    <comment ref="F38" authorId="0" shapeId="0">
      <text>
        <r>
          <rPr>
            <sz val="9"/>
            <color indexed="81"/>
            <rFont val="Segoe UI"/>
            <family val="2"/>
          </rPr>
          <t xml:space="preserve">Profitability means an organisation's ability to fund its operations and strategic development out of its revenues. </t>
        </r>
      </text>
    </comment>
    <comment ref="F39" authorId="0" shapeId="0">
      <text>
        <r>
          <rPr>
            <sz val="9"/>
            <color indexed="81"/>
            <rFont val="Segoe UI"/>
            <family val="2"/>
          </rPr>
          <t xml:space="preserve">Profitability means an organisation's ability to fund its operations and strategic development out of its revenues. </t>
        </r>
      </text>
    </comment>
    <comment ref="F40" authorId="0" shapeId="0">
      <text>
        <r>
          <rPr>
            <sz val="9"/>
            <color indexed="81"/>
            <rFont val="Segoe UI"/>
            <family val="2"/>
          </rPr>
          <t xml:space="preserve">Profitability means an organisation's ability to fund its operations and strategic development out of its revenues. </t>
        </r>
      </text>
    </comment>
    <comment ref="C41" authorId="0" shapeId="0">
      <text>
        <r>
          <rPr>
            <sz val="9"/>
            <color indexed="81"/>
            <rFont val="Segoe UI"/>
            <family val="2"/>
          </rPr>
          <t>Person suffering from dementia lives in in a nursing home</t>
        </r>
      </text>
    </comment>
    <comment ref="F41" authorId="0" shapeId="0">
      <text>
        <r>
          <rPr>
            <sz val="9"/>
            <color indexed="81"/>
            <rFont val="Segoe UI"/>
            <family val="2"/>
          </rPr>
          <t>Does the system save effort (time, money, responsibilities, …), or does it require additional resources for its operation (compared to a situation without the system)?</t>
        </r>
      </text>
    </comment>
    <comment ref="C42" authorId="0" shapeId="0">
      <text>
        <r>
          <rPr>
            <sz val="9"/>
            <color indexed="81"/>
            <rFont val="Segoe UI"/>
            <family val="2"/>
          </rPr>
          <t>Person suffering from dementia lives in in a nursing home</t>
        </r>
      </text>
    </comment>
    <comment ref="F42" authorId="0" shapeId="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43" authorId="0" shapeId="0">
      <text>
        <r>
          <rPr>
            <sz val="9"/>
            <color indexed="81"/>
            <rFont val="Segoe UI"/>
            <family val="2"/>
          </rPr>
          <t>Person suffering from dementia lives in in a nursing home</t>
        </r>
      </text>
    </comment>
    <comment ref="D43" authorId="0" shapeId="0">
      <text>
        <r>
          <rPr>
            <sz val="9"/>
            <color indexed="81"/>
            <rFont val="Segoe UI"/>
            <family val="2"/>
          </rPr>
          <t>ILA is offered as a nursing home service and administed by the nursing home</t>
        </r>
      </text>
    </comment>
    <comment ref="F43"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44" authorId="0" shapeId="0">
      <text>
        <r>
          <rPr>
            <sz val="9"/>
            <color indexed="81"/>
            <rFont val="Segoe UI"/>
            <family val="2"/>
          </rPr>
          <t>Person suffering from dementia lives in in a nursing home</t>
        </r>
      </text>
    </comment>
    <comment ref="D44" authorId="0" shapeId="0">
      <text>
        <r>
          <rPr>
            <sz val="9"/>
            <color indexed="81"/>
            <rFont val="Segoe UI"/>
            <family val="2"/>
          </rPr>
          <t>ILA is offered as a nursing home service and administed by the nursing home</t>
        </r>
      </text>
    </comment>
    <comment ref="F44"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45" authorId="0" shapeId="0">
      <text>
        <r>
          <rPr>
            <sz val="9"/>
            <color indexed="81"/>
            <rFont val="Segoe UI"/>
            <family val="2"/>
          </rPr>
          <t>Person suffering from dementia lives in in a nursing home</t>
        </r>
      </text>
    </comment>
    <comment ref="D45" authorId="0" shapeId="0">
      <text>
        <r>
          <rPr>
            <sz val="9"/>
            <color indexed="81"/>
            <rFont val="Segoe UI"/>
            <family val="2"/>
          </rPr>
          <t>ILA is offered as a nursing home service and administed by the nursing home</t>
        </r>
      </text>
    </comment>
    <comment ref="F45"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46" authorId="0" shapeId="0">
      <text>
        <r>
          <rPr>
            <sz val="9"/>
            <color indexed="81"/>
            <rFont val="Segoe UI"/>
            <family val="2"/>
          </rPr>
          <t>Person suffering from dementia lives in in a nursing home</t>
        </r>
      </text>
    </comment>
    <comment ref="D46" authorId="0" shapeId="0">
      <text>
        <r>
          <rPr>
            <sz val="9"/>
            <color indexed="81"/>
            <rFont val="Segoe UI"/>
            <family val="2"/>
          </rPr>
          <t>ILA is offered as a nursing home service and administed by the nursing home</t>
        </r>
      </text>
    </comment>
    <comment ref="F46"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47" authorId="0" shapeId="0">
      <text>
        <r>
          <rPr>
            <sz val="9"/>
            <color indexed="81"/>
            <rFont val="Segoe UI"/>
            <family val="2"/>
          </rPr>
          <t>Person suffering from dementia lives in in a nursing home</t>
        </r>
      </text>
    </comment>
    <comment ref="F47" authorId="0" shapeId="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48" authorId="0" shapeId="0">
      <text>
        <r>
          <rPr>
            <sz val="9"/>
            <color indexed="81"/>
            <rFont val="Segoe UI"/>
            <family val="2"/>
          </rPr>
          <t>Person suffering from dementia lives in in a nursing home</t>
        </r>
      </text>
    </comment>
    <comment ref="F48" authorId="0" shapeId="0">
      <text>
        <r>
          <rPr>
            <sz val="9"/>
            <color indexed="81"/>
            <rFont val="Segoe UI"/>
            <family val="2"/>
          </rPr>
          <t>Does the system save effort (time, money, responsibilities, …), or does it require additional resources for its operation (compared to a situation without the system)?</t>
        </r>
      </text>
    </comment>
    <comment ref="C49" authorId="0" shapeId="0">
      <text>
        <r>
          <rPr>
            <sz val="9"/>
            <color indexed="81"/>
            <rFont val="Segoe UI"/>
            <family val="2"/>
          </rPr>
          <t>Person suffering from dementia lives in in a nursing home</t>
        </r>
      </text>
    </comment>
    <comment ref="D49" authorId="0" shapeId="0">
      <text>
        <r>
          <rPr>
            <sz val="9"/>
            <color indexed="81"/>
            <rFont val="Segoe UI"/>
            <family val="2"/>
          </rPr>
          <t>ILA is offered as a nursing home service and administed by the nursing home</t>
        </r>
      </text>
    </comment>
    <comment ref="F49" authorId="0" shapeId="0">
      <text>
        <r>
          <rPr>
            <sz val="9"/>
            <color indexed="81"/>
            <rFont val="Segoe UI"/>
            <family val="2"/>
          </rPr>
          <t>Does the system save effort (time, money, responsibilities, …), or does it require additional resources for its operation (compared to a situation without the system)?</t>
        </r>
      </text>
    </comment>
    <comment ref="C50" authorId="0" shapeId="0">
      <text>
        <r>
          <rPr>
            <sz val="9"/>
            <color indexed="81"/>
            <rFont val="Segoe UI"/>
            <family val="2"/>
          </rPr>
          <t>Person suffering from dementia lives in in a nursing home</t>
        </r>
      </text>
    </comment>
    <comment ref="D50" authorId="0" shapeId="0">
      <text>
        <r>
          <rPr>
            <sz val="9"/>
            <color indexed="81"/>
            <rFont val="Segoe UI"/>
            <family val="2"/>
          </rPr>
          <t>ILA is offered as a nursing home service and administed by the nursing home</t>
        </r>
      </text>
    </comment>
    <comment ref="F50"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51" authorId="0" shapeId="0">
      <text>
        <r>
          <rPr>
            <sz val="9"/>
            <color indexed="81"/>
            <rFont val="Segoe UI"/>
            <family val="2"/>
          </rPr>
          <t>Person suffering from dementia lives in in a nursing home</t>
        </r>
      </text>
    </comment>
    <comment ref="D51" authorId="0" shapeId="0">
      <text>
        <r>
          <rPr>
            <sz val="9"/>
            <color indexed="81"/>
            <rFont val="Segoe UI"/>
            <family val="2"/>
          </rPr>
          <t>ILA is offered as a nursing home service and administed by the nursing home</t>
        </r>
      </text>
    </comment>
    <comment ref="F51"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52" authorId="0" shapeId="0">
      <text>
        <r>
          <rPr>
            <sz val="9"/>
            <color indexed="81"/>
            <rFont val="Segoe UI"/>
            <family val="2"/>
          </rPr>
          <t>Person suffering from dementia lives in in a nursing home</t>
        </r>
      </text>
    </comment>
    <comment ref="D52" authorId="0" shapeId="0">
      <text>
        <r>
          <rPr>
            <sz val="9"/>
            <color indexed="81"/>
            <rFont val="Segoe UI"/>
            <family val="2"/>
          </rPr>
          <t>ILA is offered as a nursing home service and administed by the nursing home</t>
        </r>
      </text>
    </comment>
    <comment ref="F52" authorId="0" shapeId="0">
      <text>
        <r>
          <rPr>
            <sz val="9"/>
            <color indexed="81"/>
            <rFont val="Segoe UI"/>
            <family val="2"/>
          </rPr>
          <t>Does the system save effort (time, money, responsibilities, …), or does it require additional resources for its operation (compared to a situation without the system)?</t>
        </r>
      </text>
    </comment>
    <comment ref="C53" authorId="0" shapeId="0">
      <text>
        <r>
          <rPr>
            <sz val="9"/>
            <color indexed="81"/>
            <rFont val="Segoe UI"/>
            <family val="2"/>
          </rPr>
          <t>Person suffering from dementia lives in in a nursing home</t>
        </r>
      </text>
    </comment>
    <comment ref="D53" authorId="0" shapeId="0">
      <text>
        <r>
          <rPr>
            <sz val="9"/>
            <color indexed="81"/>
            <rFont val="Segoe UI"/>
            <family val="2"/>
          </rPr>
          <t>ILA is offered as a nursing home service and administed by the nursing home</t>
        </r>
      </text>
    </comment>
    <comment ref="F53" authorId="0" shapeId="0">
      <text>
        <r>
          <rPr>
            <sz val="9"/>
            <color indexed="81"/>
            <rFont val="Segoe UI"/>
            <family val="2"/>
          </rPr>
          <t xml:space="preserve">Profitability means an organisation's ability to fund its operations and strategic development out of its revenues. </t>
        </r>
      </text>
    </comment>
    <comment ref="C54" authorId="0" shapeId="0">
      <text>
        <r>
          <rPr>
            <sz val="9"/>
            <color indexed="81"/>
            <rFont val="Segoe UI"/>
            <family val="2"/>
          </rPr>
          <t>Person suffering from dementia lives in in a nursing home</t>
        </r>
      </text>
    </comment>
    <comment ref="D54" authorId="0" shapeId="0">
      <text>
        <r>
          <rPr>
            <sz val="9"/>
            <color indexed="81"/>
            <rFont val="Segoe UI"/>
            <family val="2"/>
          </rPr>
          <t>ILA is offered as a nursing home service and administed by the nursing home</t>
        </r>
      </text>
    </comment>
    <comment ref="F54" authorId="0" shapeId="0">
      <text>
        <r>
          <rPr>
            <sz val="9"/>
            <color indexed="81"/>
            <rFont val="Segoe UI"/>
            <family val="2"/>
          </rPr>
          <t>Opportunity describes an organisation's ability and position to drive innovation, expand its market share, improve customer loyalty, or pursue any other strategic goals.</t>
        </r>
      </text>
    </comment>
    <comment ref="C55" authorId="0" shapeId="0">
      <text>
        <r>
          <rPr>
            <sz val="9"/>
            <color indexed="81"/>
            <rFont val="Segoe UI"/>
            <family val="2"/>
          </rPr>
          <t>ILA is paid for by the health insurance</t>
        </r>
      </text>
    </comment>
    <comment ref="F55" authorId="0" shapeId="0">
      <text>
        <r>
          <rPr>
            <sz val="9"/>
            <color indexed="81"/>
            <rFont val="Segoe UI"/>
            <family val="2"/>
          </rPr>
          <t xml:space="preserve">Fairness means that the same standards are applied to everyone, and that ressources are provided according to degree of neediness. </t>
        </r>
      </text>
    </comment>
    <comment ref="C56" authorId="0" shapeId="0">
      <text>
        <r>
          <rPr>
            <sz val="9"/>
            <color indexed="81"/>
            <rFont val="Segoe UI"/>
            <family val="2"/>
          </rPr>
          <t>ILA is paid for by the health insurance</t>
        </r>
      </text>
    </comment>
    <comment ref="F56" authorId="0" shapeId="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57" authorId="0" shapeId="0">
      <text>
        <r>
          <rPr>
            <sz val="9"/>
            <color indexed="81"/>
            <rFont val="Segoe UI"/>
            <family val="2"/>
          </rPr>
          <t>ILA is paid for by the health insurance</t>
        </r>
      </text>
    </comment>
    <comment ref="F57" authorId="0" shapeId="0">
      <text>
        <r>
          <rPr>
            <sz val="9"/>
            <color indexed="81"/>
            <rFont val="Segoe UI"/>
            <family val="2"/>
          </rPr>
          <t>Does the system save effort (time, money, responsibilities, …), or does it require additional resources for its operation (compared to a situation without the system)?</t>
        </r>
      </text>
    </comment>
    <comment ref="C58" authorId="0" shapeId="0">
      <text>
        <r>
          <rPr>
            <sz val="9"/>
            <color indexed="81"/>
            <rFont val="Segoe UI"/>
            <family val="2"/>
          </rPr>
          <t>ILA is paid for by the health insurance</t>
        </r>
      </text>
    </comment>
    <comment ref="F58" authorId="0" shapeId="0">
      <text>
        <r>
          <rPr>
            <sz val="9"/>
            <color indexed="81"/>
            <rFont val="Segoe UI"/>
            <family val="2"/>
          </rPr>
          <t xml:space="preserve">Profitability means an organisation's ability to fund its operations and strategic development out of its revenues. </t>
        </r>
      </text>
    </comment>
    <comment ref="C59" authorId="0" shapeId="0">
      <text>
        <r>
          <rPr>
            <sz val="9"/>
            <color indexed="81"/>
            <rFont val="Segoe UI"/>
            <family val="2"/>
          </rPr>
          <t>ILA is paid for by the health insurance</t>
        </r>
      </text>
    </comment>
    <comment ref="F59" authorId="0" shapeId="0">
      <text>
        <r>
          <rPr>
            <sz val="9"/>
            <color indexed="81"/>
            <rFont val="Segoe UI"/>
            <family val="2"/>
          </rPr>
          <t>Opportunity describes an organisation's ability and position to drive innovation, expand its market share, improve customer loyalty, or pursue any other strategic goals.</t>
        </r>
      </text>
    </comment>
    <comment ref="C60" authorId="0" shapeId="0">
      <text>
        <r>
          <rPr>
            <sz val="9"/>
            <color indexed="81"/>
            <rFont val="Segoe UI"/>
            <family val="2"/>
          </rPr>
          <t>ILA is paid for by the health insurance</t>
        </r>
      </text>
    </comment>
    <comment ref="F60" authorId="0" shapeId="0">
      <text>
        <r>
          <rPr>
            <sz val="9"/>
            <color indexed="81"/>
            <rFont val="Segoe UI"/>
            <family val="2"/>
          </rPr>
          <t>Opportunity describes an organisation's ability and position to drive innovation, expand its market share, improve customer loyalty, or pursue any other strategic goals.</t>
        </r>
      </text>
    </comment>
    <comment ref="C61" authorId="0" shapeId="0">
      <text>
        <r>
          <rPr>
            <sz val="9"/>
            <color indexed="81"/>
            <rFont val="Segoe UI"/>
            <family val="2"/>
          </rPr>
          <t>ILA operates as part of a home emergency call service</t>
        </r>
      </text>
    </comment>
    <comment ref="F61" authorId="0" shapeId="0">
      <text>
        <r>
          <rPr>
            <sz val="9"/>
            <color indexed="81"/>
            <rFont val="Segoe UI"/>
            <family val="2"/>
          </rPr>
          <t>Does the system save effort (time, money, responsibilities, …), or does it require additional resources for its operation (compared to a situation without the system)?</t>
        </r>
      </text>
    </comment>
    <comment ref="C62" authorId="0" shapeId="0">
      <text>
        <r>
          <rPr>
            <sz val="9"/>
            <color indexed="81"/>
            <rFont val="Segoe UI"/>
            <family val="2"/>
          </rPr>
          <t>ILA operates as part of a home emergency call service</t>
        </r>
      </text>
    </comment>
    <comment ref="F62" authorId="0" shapeId="0">
      <text>
        <r>
          <rPr>
            <sz val="9"/>
            <color indexed="81"/>
            <rFont val="Segoe UI"/>
            <family val="2"/>
          </rPr>
          <t>Does the system save effort (time, money, responsibilities, …), or does it require additional resources for its operation (compared to a situation without the system)?</t>
        </r>
      </text>
    </comment>
    <comment ref="C63" authorId="0" shapeId="0">
      <text>
        <r>
          <rPr>
            <sz val="9"/>
            <color indexed="81"/>
            <rFont val="Segoe UI"/>
            <family val="2"/>
          </rPr>
          <t>ILA operates as part of a home emergency call service</t>
        </r>
      </text>
    </comment>
    <comment ref="F63" authorId="0" shapeId="0">
      <text>
        <r>
          <rPr>
            <sz val="9"/>
            <color indexed="81"/>
            <rFont val="Segoe UI"/>
            <family val="2"/>
          </rPr>
          <t xml:space="preserve">Profitability means an organisation's ability to fund its operations and strategic development out of its revenues. </t>
        </r>
      </text>
    </comment>
    <comment ref="C64" authorId="0" shapeId="0">
      <text>
        <r>
          <rPr>
            <sz val="9"/>
            <color indexed="81"/>
            <rFont val="Segoe UI"/>
            <family val="2"/>
          </rPr>
          <t>ILA operates as part of a home emergency call service</t>
        </r>
      </text>
    </comment>
    <comment ref="F64" authorId="0" shapeId="0">
      <text>
        <r>
          <rPr>
            <sz val="9"/>
            <color indexed="81"/>
            <rFont val="Segoe UI"/>
            <family val="2"/>
          </rPr>
          <t xml:space="preserve">Profitability means an organisation's ability to fund its operations and strategic development out of its revenues. </t>
        </r>
      </text>
    </comment>
    <comment ref="C65" authorId="0" shapeId="0">
      <text>
        <r>
          <rPr>
            <sz val="9"/>
            <color indexed="81"/>
            <rFont val="Segoe UI"/>
            <family val="2"/>
          </rPr>
          <t>ILA operates as part of a home emergency call service</t>
        </r>
      </text>
    </comment>
    <comment ref="F65" authorId="0" shapeId="0">
      <text>
        <r>
          <rPr>
            <sz val="9"/>
            <color indexed="81"/>
            <rFont val="Segoe UI"/>
            <family val="2"/>
          </rPr>
          <t>Opportunity describes an organisation's ability and position to drive innovation, expand its market share, improve customer loyalty, or pursue any other strategic goals.</t>
        </r>
      </text>
    </comment>
    <comment ref="C66" authorId="0" shapeId="0">
      <text>
        <r>
          <rPr>
            <sz val="9"/>
            <color indexed="81"/>
            <rFont val="Segoe UI"/>
            <family val="2"/>
          </rPr>
          <t>ILA operates as part of a home emergency call service</t>
        </r>
      </text>
    </comment>
    <comment ref="F66"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67"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68" authorId="0" shapeId="0">
      <text>
        <r>
          <rPr>
            <sz val="9"/>
            <color indexed="81"/>
            <rFont val="Segoe UI"/>
            <family val="2"/>
          </rPr>
          <t>Does the system save effort (time, money, responsibilities, …), or does it require additional resources for its operation (compared to a situation without the system)?</t>
        </r>
      </text>
    </comment>
    <comment ref="F69" authorId="0" shapeId="0">
      <text>
        <r>
          <rPr>
            <sz val="9"/>
            <color indexed="81"/>
            <rFont val="Segoe UI"/>
            <family val="2"/>
          </rPr>
          <t xml:space="preserve">Profitability means an organisation's ability to fund its operations and strategic development out of its revenues. </t>
        </r>
      </text>
    </comment>
    <comment ref="C70" authorId="0" shapeId="0">
      <text>
        <r>
          <rPr>
            <sz val="9"/>
            <color indexed="81"/>
            <rFont val="Segoe UI"/>
            <family val="2"/>
          </rPr>
          <t>ILA operates as part of a home emergency call service</t>
        </r>
      </text>
    </comment>
    <comment ref="F70" authorId="0" shapeId="0">
      <text>
        <r>
          <rPr>
            <sz val="9"/>
            <color indexed="81"/>
            <rFont val="Segoe UI"/>
            <family val="2"/>
          </rPr>
          <t xml:space="preserve">Profitability means an organisation's ability to fund its operations and strategic development out of its revenues. </t>
        </r>
      </text>
    </comment>
    <comment ref="C71" authorId="0" shapeId="0">
      <text>
        <r>
          <rPr>
            <sz val="9"/>
            <color indexed="81"/>
            <rFont val="Segoe UI"/>
            <family val="2"/>
          </rPr>
          <t>ILA operates as part of a home emergency call service</t>
        </r>
      </text>
    </comment>
    <comment ref="F71" authorId="0" shapeId="0">
      <text>
        <r>
          <rPr>
            <sz val="9"/>
            <color indexed="81"/>
            <rFont val="Segoe UI"/>
            <family val="2"/>
          </rPr>
          <t xml:space="preserve">Profitability means an organisation's ability to fund its operations and strategic development out of its revenues. </t>
        </r>
      </text>
    </comment>
    <comment ref="F72" authorId="0" shapeId="0">
      <text>
        <r>
          <rPr>
            <sz val="9"/>
            <color indexed="81"/>
            <rFont val="Segoe UI"/>
            <family val="2"/>
          </rPr>
          <t>Opportunity describes an organisation's ability and position to drive innovation, expand its market share, improve customer loyalty, or pursue any other strategic goals.</t>
        </r>
      </text>
    </comment>
    <comment ref="F73" authorId="0" shapeId="0">
      <text>
        <r>
          <rPr>
            <sz val="9"/>
            <color indexed="81"/>
            <rFont val="Segoe UI"/>
            <family val="2"/>
          </rPr>
          <t>The term autonomy […] is nowadays often equated with an individual’s maximum freedom of decision and action.</t>
        </r>
      </text>
    </comment>
    <comment ref="F74" authorId="0" shapeId="0">
      <text>
        <r>
          <rPr>
            <sz val="9"/>
            <color indexed="81"/>
            <rFont val="Segoe UI"/>
            <family val="2"/>
          </rPr>
          <t>Participation […] means providing people with access, rights, services, and assets that enable them to live together with other people in society.</t>
        </r>
      </text>
    </comment>
    <comment ref="F75" authorId="0" shapeId="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List>
</comments>
</file>

<file path=xl/comments3.xml><?xml version="1.0" encoding="utf-8"?>
<comments xmlns="http://schemas.openxmlformats.org/spreadsheetml/2006/main">
  <authors>
    <author>Autor</author>
  </authors>
  <commentList>
    <comment ref="E6" authorId="0" shapeId="0">
      <text>
        <r>
          <rPr>
            <sz val="9"/>
            <color indexed="81"/>
            <rFont val="Segoe UI"/>
            <family val="2"/>
          </rPr>
          <t xml:space="preserve">Contact Person - Care:_x000D_
If there is just one contact person, there is a risk that ILA focuses the responsibility for the person suffering from demential solely on this contact person. It might wear out that person. </t>
        </r>
      </text>
    </comment>
    <comment ref="F6" authorId="0" shapeId="0">
      <text>
        <r>
          <rPr>
            <sz val="9"/>
            <color indexed="81"/>
            <rFont val="Segoe UI"/>
            <family val="2"/>
          </rPr>
          <t>Contact Person - Autonomy:_x000D_
In the best case scenario, ILA might give a contact person some "peace of mind" with regard to the well-being of a related person suffering from dementia. ILA might help the contact person to better handle a great responsibility.</t>
        </r>
      </text>
    </comment>
    <comment ref="G6" authorId="0" shapeId="0">
      <text>
        <r>
          <rPr>
            <sz val="9"/>
            <color indexed="81"/>
            <rFont val="Segoe UI"/>
            <family val="2"/>
          </rPr>
          <t xml:space="preserve">Contact Person - Autonomy:_x000D_
The constant risk of being alerted might severely impact the contact person's freedom to plan her own time. </t>
        </r>
      </text>
    </comment>
    <comment ref="H6" authorId="0" shapeId="0">
      <text>
        <r>
          <rPr>
            <sz val="9"/>
            <color indexed="81"/>
            <rFont val="Segoe UI"/>
            <family val="2"/>
          </rPr>
          <t>Contact Person - Privacy:_x000D_
If ILA is implemented improperly, personal information could be obtained illegally, like e.g. credit card information. (Violation of "Integrity" Principle)</t>
        </r>
      </text>
    </comment>
    <comment ref="I6" authorId="0" shapeId="0">
      <text>
        <r>
          <rPr>
            <sz val="9"/>
            <color indexed="81"/>
            <rFont val="Segoe UI"/>
            <family val="2"/>
          </rPr>
          <t>Contact Person - Privacy:_x000D_
If ILA is implemented improperly, personal information about a contact person could be used in an unintended way, e.g. for marketing purposes. (Violation of "Purpose Limitation" Principle)</t>
        </r>
      </text>
    </comment>
    <comment ref="J6" authorId="0" shapeId="0">
      <text>
        <r>
          <rPr>
            <sz val="9"/>
            <color indexed="81"/>
            <rFont val="Segoe UI"/>
            <family val="2"/>
          </rPr>
          <t>Contact Person - Privacy:_x000D_
If the contact person's data is not deleted from ILA's data bases after termination of an ILA account, undesired effects (like false alerts) might occur. (Violation of "Right to be Forgotten" Principle)</t>
        </r>
      </text>
    </comment>
    <comment ref="K6" authorId="0" shapeId="0">
      <text>
        <r>
          <rPr>
            <sz val="9"/>
            <color indexed="81"/>
            <rFont val="Segoe UI"/>
            <family val="2"/>
          </rPr>
          <t>Contact Person - Privacy:_x000D_
The idea that "my data is stored somewhere" might be frightening for a contact person. (Violation of "Transparency" Principle)</t>
        </r>
      </text>
    </comment>
    <comment ref="L6" authorId="0" shapeId="0">
      <text>
        <r>
          <rPr>
            <sz val="9"/>
            <color indexed="81"/>
            <rFont val="Segoe UI"/>
            <family val="2"/>
          </rPr>
          <t>Contact Person - Fairness:_x000D_
If there are several contact persons sharing the responsibility, in the worst case one contact might have to handle a lot more load than others.</t>
        </r>
      </text>
    </comment>
    <comment ref="M6" authorId="0" shapeId="0">
      <text>
        <r>
          <rPr>
            <sz val="9"/>
            <color indexed="81"/>
            <rFont val="Segoe UI"/>
            <family val="2"/>
          </rPr>
          <t xml:space="preserve">Contact Person - Liability:_x000D_
If ILA produces many false alerts, the frequent calls for support might cause considerable effort for the contact person. </t>
        </r>
      </text>
    </comment>
    <comment ref="N6" authorId="0" shapeId="0">
      <text>
        <r>
          <rPr>
            <sz val="9"/>
            <color indexed="81"/>
            <rFont val="Segoe UI"/>
            <family val="2"/>
          </rPr>
          <t xml:space="preserve">Contact Person - Liability:_x000D_
Administration of ILA (handling of GPS sensor, battery monitoring and change, administration of data, …) might require some effort from the contact person. </t>
        </r>
      </text>
    </comment>
    <comment ref="O6" authorId="0" shapeId="0">
      <text>
        <r>
          <rPr>
            <sz val="9"/>
            <color indexed="81"/>
            <rFont val="Segoe UI"/>
            <family val="2"/>
          </rPr>
          <t xml:space="preserve">Contact Person - Self-Conception:_x000D_
If ILA is difficult to administrate, and/or is unreliable in execution, the contact person may get a feeling of "being too stupid to use the system properly". </t>
        </r>
      </text>
    </comment>
    <comment ref="P6" authorId="0" shapeId="0">
      <text>
        <r>
          <rPr>
            <sz val="9"/>
            <color indexed="81"/>
            <rFont val="Segoe UI"/>
            <family val="2"/>
          </rPr>
          <t>Contact Person - Self-Conception:_x000D_
If ILA reliably informs about exceptional situations, it will effectively support the contact person to be a "guardian angel". In that case, the contact person can feel good about her own role.</t>
        </r>
      </text>
    </comment>
    <comment ref="E7" authorId="0" shapeId="0">
      <text>
        <r>
          <rPr>
            <sz val="9"/>
            <color indexed="81"/>
            <rFont val="Segoe UI"/>
            <family val="2"/>
          </rPr>
          <t xml:space="preserve">This measure adresses a major risk, but it cannot mitigate it (on its own). </t>
        </r>
      </text>
    </comment>
    <comment ref="F7" authorId="0" shapeId="0">
      <text>
        <r>
          <rPr>
            <sz val="9"/>
            <color indexed="81"/>
            <rFont val="Segoe UI"/>
            <family val="2"/>
          </rPr>
          <t>This measure fully realizes a minor goal.</t>
        </r>
      </text>
    </comment>
    <comment ref="M7" authorId="0" shapeId="0">
      <text>
        <r>
          <rPr>
            <sz val="9"/>
            <color indexed="81"/>
            <rFont val="Segoe UI"/>
            <family val="2"/>
          </rPr>
          <t xml:space="preserve">This measure adresses a major risk, but it cannot mitigate it (on its own). </t>
        </r>
      </text>
    </comment>
    <comment ref="N7" authorId="0" shapeId="0">
      <text>
        <r>
          <rPr>
            <sz val="9"/>
            <color indexed="81"/>
            <rFont val="Segoe UI"/>
            <family val="2"/>
          </rPr>
          <t xml:space="preserve">This measure adresses a minor risk, but it cannot mitigate it (on its own). </t>
        </r>
      </text>
    </comment>
    <comment ref="O7" authorId="0" shapeId="0">
      <text>
        <r>
          <rPr>
            <sz val="9"/>
            <color indexed="81"/>
            <rFont val="Segoe UI"/>
            <family val="2"/>
          </rPr>
          <t>This measure fully solves a minor risk.</t>
        </r>
      </text>
    </comment>
    <comment ref="P7" authorId="0" shapeId="0">
      <text>
        <r>
          <rPr>
            <sz val="9"/>
            <color indexed="81"/>
            <rFont val="Segoe UI"/>
            <family val="2"/>
          </rPr>
          <t>This measure fully realizes a minor goal.</t>
        </r>
      </text>
    </comment>
    <comment ref="C8" authorId="0" shapeId="0">
      <text>
        <r>
          <rPr>
            <sz val="9"/>
            <color indexed="81"/>
            <rFont val="Segoe UI"/>
            <family val="2"/>
          </rPr>
          <t>Several contact persons, not all living nearby, not all frequently available</t>
        </r>
      </text>
    </comment>
    <comment ref="F8" authorId="0" shapeId="0">
      <text>
        <r>
          <rPr>
            <sz val="9"/>
            <color indexed="81"/>
            <rFont val="Segoe UI"/>
            <family val="2"/>
          </rPr>
          <t>This measure fully realizes a minor goal.</t>
        </r>
      </text>
    </comment>
    <comment ref="G8" authorId="0" shapeId="0">
      <text>
        <r>
          <rPr>
            <sz val="9"/>
            <color indexed="81"/>
            <rFont val="Segoe UI"/>
            <family val="2"/>
          </rPr>
          <t>This measure adresses a major risk, and makes it less severe.</t>
        </r>
      </text>
    </comment>
    <comment ref="L8" authorId="0" shapeId="0">
      <text>
        <r>
          <rPr>
            <sz val="9"/>
            <color indexed="81"/>
            <rFont val="Segoe UI"/>
            <family val="2"/>
          </rPr>
          <t xml:space="preserve">This measure adresses a minor risk, but it cannot mitigate it (on its own). </t>
        </r>
      </text>
    </comment>
    <comment ref="O8" authorId="0" shapeId="0">
      <text>
        <r>
          <rPr>
            <sz val="9"/>
            <color indexed="81"/>
            <rFont val="Segoe UI"/>
            <family val="2"/>
          </rPr>
          <t>This measure fully solves a minor risk.</t>
        </r>
      </text>
    </comment>
    <comment ref="P8" authorId="0" shapeId="0">
      <text>
        <r>
          <rPr>
            <sz val="9"/>
            <color indexed="81"/>
            <rFont val="Segoe UI"/>
            <family val="2"/>
          </rPr>
          <t>This measure fully realizes a minor goal.</t>
        </r>
      </text>
    </comment>
    <comment ref="C9" authorId="0" shapeId="0">
      <text>
        <r>
          <rPr>
            <sz val="9"/>
            <color indexed="81"/>
            <rFont val="Segoe UI"/>
            <family val="2"/>
          </rPr>
          <t>ILA operates as part of a home emergency call service</t>
        </r>
      </text>
    </comment>
    <comment ref="E9" authorId="0" shapeId="0">
      <text>
        <r>
          <rPr>
            <sz val="9"/>
            <color indexed="81"/>
            <rFont val="Segoe UI"/>
            <family val="2"/>
          </rPr>
          <t xml:space="preserve">This measure adresses a major risk, but it cannot mitigate it (on its own). </t>
        </r>
      </text>
    </comment>
    <comment ref="F9" authorId="0" shapeId="0">
      <text>
        <r>
          <rPr>
            <sz val="9"/>
            <color indexed="81"/>
            <rFont val="Segoe UI"/>
            <family val="2"/>
          </rPr>
          <t>This measure fully realizes a minor goal.</t>
        </r>
      </text>
    </comment>
    <comment ref="P9" authorId="0" shapeId="0">
      <text>
        <r>
          <rPr>
            <sz val="9"/>
            <color indexed="81"/>
            <rFont val="Segoe UI"/>
            <family val="2"/>
          </rPr>
          <t>This measure fully realizes a minor goal.</t>
        </r>
      </text>
    </comment>
    <comment ref="C10" authorId="0" shapeId="0">
      <text>
        <r>
          <rPr>
            <sz val="9"/>
            <color indexed="81"/>
            <rFont val="Segoe UI"/>
            <family val="2"/>
          </rPr>
          <t>Person suffering from dementia lives in in a nursing home</t>
        </r>
      </text>
    </comment>
    <comment ref="M11" authorId="0" shapeId="0">
      <text>
        <r>
          <rPr>
            <sz val="9"/>
            <color indexed="81"/>
            <rFont val="Segoe UI"/>
            <family val="2"/>
          </rPr>
          <t>This measure adresses a major risk, and makes it less severe.</t>
        </r>
      </text>
    </comment>
    <comment ref="M12" authorId="0" shapeId="0">
      <text>
        <r>
          <rPr>
            <sz val="9"/>
            <color indexed="81"/>
            <rFont val="Segoe UI"/>
            <family val="2"/>
          </rPr>
          <t>This measure adresses a major risk, and makes it less severe.</t>
        </r>
      </text>
    </comment>
    <comment ref="E13" authorId="0" shapeId="0">
      <text>
        <r>
          <rPr>
            <sz val="9"/>
            <color indexed="81"/>
            <rFont val="Segoe UI"/>
            <family val="2"/>
          </rPr>
          <t>This measure adresses a major risk, and makes it less severe.</t>
        </r>
      </text>
    </comment>
    <comment ref="F13" authorId="0" shapeId="0">
      <text>
        <r>
          <rPr>
            <sz val="9"/>
            <color indexed="81"/>
            <rFont val="Segoe UI"/>
            <family val="2"/>
          </rPr>
          <t>This measure fully realizes a minor goal.</t>
        </r>
      </text>
    </comment>
    <comment ref="M13" authorId="0" shapeId="0">
      <text>
        <r>
          <rPr>
            <sz val="9"/>
            <color indexed="81"/>
            <rFont val="Segoe UI"/>
            <family val="2"/>
          </rPr>
          <t>This measure adresses a major risk, and makes it less severe.</t>
        </r>
      </text>
    </comment>
    <comment ref="E14" authorId="0" shapeId="0">
      <text>
        <r>
          <rPr>
            <sz val="9"/>
            <color indexed="81"/>
            <rFont val="Segoe UI"/>
            <family val="2"/>
          </rPr>
          <t>This measure adresses a major risk, and makes it less severe.</t>
        </r>
      </text>
    </comment>
    <comment ref="F14" authorId="0" shapeId="0">
      <text>
        <r>
          <rPr>
            <sz val="9"/>
            <color indexed="81"/>
            <rFont val="Segoe UI"/>
            <family val="2"/>
          </rPr>
          <t>This measure fully realizes a minor goal.</t>
        </r>
      </text>
    </comment>
    <comment ref="M14" authorId="0" shapeId="0">
      <text>
        <r>
          <rPr>
            <sz val="9"/>
            <color indexed="81"/>
            <rFont val="Segoe UI"/>
            <family val="2"/>
          </rPr>
          <t>This measure adresses a major risk, and makes it less severe.</t>
        </r>
      </text>
    </comment>
    <comment ref="N19" authorId="0" shapeId="0">
      <text>
        <r>
          <rPr>
            <sz val="9"/>
            <color indexed="81"/>
            <rFont val="Segoe UI"/>
            <family val="2"/>
          </rPr>
          <t xml:space="preserve">This measure adresses a minor risk, but it cannot mitigate it (on its own). </t>
        </r>
      </text>
    </comment>
    <comment ref="O19" authorId="0" shapeId="0">
      <text>
        <r>
          <rPr>
            <sz val="9"/>
            <color indexed="81"/>
            <rFont val="Segoe UI"/>
            <family val="2"/>
          </rPr>
          <t>This measure fully solves a minor risk.</t>
        </r>
      </text>
    </comment>
    <comment ref="N20" authorId="0" shapeId="0">
      <text>
        <r>
          <rPr>
            <sz val="9"/>
            <color indexed="81"/>
            <rFont val="Segoe UI"/>
            <family val="2"/>
          </rPr>
          <t xml:space="preserve">This measure adresses a minor risk, but it cannot mitigate it (on its own). </t>
        </r>
      </text>
    </comment>
    <comment ref="O20" authorId="0" shapeId="0">
      <text>
        <r>
          <rPr>
            <sz val="9"/>
            <color indexed="81"/>
            <rFont val="Segoe UI"/>
            <family val="2"/>
          </rPr>
          <t>This measure fully solves a minor risk.</t>
        </r>
      </text>
    </comment>
    <comment ref="C23" authorId="0" shapeId="0">
      <text>
        <r>
          <rPr>
            <sz val="9"/>
            <color indexed="81"/>
            <rFont val="Segoe UI"/>
            <family val="2"/>
          </rPr>
          <t>Several contact persons, not all living nearby, not all frequently available</t>
        </r>
      </text>
    </comment>
    <comment ref="E23" authorId="0" shapeId="0">
      <text>
        <r>
          <rPr>
            <sz val="9"/>
            <color indexed="81"/>
            <rFont val="Segoe UI"/>
            <family val="2"/>
          </rPr>
          <t>This measure adresses a major risk, and makes it less severe.</t>
        </r>
      </text>
    </comment>
    <comment ref="F23" authorId="0" shapeId="0">
      <text>
        <r>
          <rPr>
            <sz val="9"/>
            <color indexed="81"/>
            <rFont val="Segoe UI"/>
            <family val="2"/>
          </rPr>
          <t>This measure fully realizes a minor goal.</t>
        </r>
      </text>
    </comment>
    <comment ref="G23" authorId="0" shapeId="0">
      <text>
        <r>
          <rPr>
            <sz val="9"/>
            <color indexed="81"/>
            <rFont val="Segoe UI"/>
            <family val="2"/>
          </rPr>
          <t>This measure fully solves a major risk.</t>
        </r>
      </text>
    </comment>
    <comment ref="L23" authorId="0" shapeId="0">
      <text>
        <r>
          <rPr>
            <sz val="9"/>
            <color indexed="81"/>
            <rFont val="Segoe UI"/>
            <family val="2"/>
          </rPr>
          <t xml:space="preserve">This measure adresses a minor risk, but it cannot mitigate it (on its own). </t>
        </r>
      </text>
    </comment>
    <comment ref="N28" authorId="0" shapeId="0">
      <text>
        <r>
          <rPr>
            <sz val="9"/>
            <color indexed="81"/>
            <rFont val="Segoe UI"/>
            <family val="2"/>
          </rPr>
          <t xml:space="preserve">This measure adresses a minor risk, but it cannot mitigate it (on its own). </t>
        </r>
      </text>
    </comment>
    <comment ref="O28" authorId="0" shapeId="0">
      <text>
        <r>
          <rPr>
            <sz val="9"/>
            <color indexed="81"/>
            <rFont val="Segoe UI"/>
            <family val="2"/>
          </rPr>
          <t>This measure fully solves a minor risk.</t>
        </r>
      </text>
    </comment>
    <comment ref="H31" authorId="0" shapeId="0">
      <text>
        <r>
          <rPr>
            <sz val="9"/>
            <color indexed="81"/>
            <rFont val="Segoe UI"/>
            <family val="2"/>
          </rPr>
          <t>This measure fully solves a minor risk.</t>
        </r>
      </text>
    </comment>
    <comment ref="I33" authorId="0" shapeId="0">
      <text>
        <r>
          <rPr>
            <sz val="9"/>
            <color indexed="81"/>
            <rFont val="Segoe UI"/>
            <family val="2"/>
          </rPr>
          <t>This measure fully solves a minor risk.</t>
        </r>
      </text>
    </comment>
    <comment ref="C34" authorId="0" shapeId="0">
      <text>
        <r>
          <rPr>
            <sz val="9"/>
            <color indexed="81"/>
            <rFont val="Segoe UI"/>
            <family val="2"/>
          </rPr>
          <t>ILA is paid for by the health insurance</t>
        </r>
      </text>
    </comment>
    <comment ref="I34" authorId="0" shapeId="0">
      <text>
        <r>
          <rPr>
            <sz val="9"/>
            <color indexed="81"/>
            <rFont val="Segoe UI"/>
            <family val="2"/>
          </rPr>
          <t>This measure fully solves a minor risk.</t>
        </r>
      </text>
    </comment>
    <comment ref="J35" authorId="0" shapeId="0">
      <text>
        <r>
          <rPr>
            <sz val="9"/>
            <color indexed="81"/>
            <rFont val="Segoe UI"/>
            <family val="2"/>
          </rPr>
          <t xml:space="preserve">This measure adresses a minor risk, but it cannot mitigate it (on its own). </t>
        </r>
      </text>
    </comment>
    <comment ref="K38" authorId="0" shapeId="0">
      <text>
        <r>
          <rPr>
            <sz val="9"/>
            <color indexed="81"/>
            <rFont val="Segoe UI"/>
            <family val="2"/>
          </rPr>
          <t>This measure fully solves a minor risk.</t>
        </r>
      </text>
    </comment>
    <comment ref="H39" authorId="0" shapeId="0">
      <text>
        <r>
          <rPr>
            <sz val="9"/>
            <color indexed="81"/>
            <rFont val="Segoe UI"/>
            <family val="2"/>
          </rPr>
          <t xml:space="preserve">This measure adresses a minor risk, but it cannot mitigate it (on its own). </t>
        </r>
      </text>
    </comment>
    <comment ref="I39" authorId="0" shapeId="0">
      <text>
        <r>
          <rPr>
            <sz val="9"/>
            <color indexed="81"/>
            <rFont val="Segoe UI"/>
            <family val="2"/>
          </rPr>
          <t xml:space="preserve">This measure adresses a minor risk, but it cannot mitigate it (on its own). </t>
        </r>
      </text>
    </comment>
    <comment ref="J39" authorId="0" shapeId="0">
      <text>
        <r>
          <rPr>
            <sz val="9"/>
            <color indexed="81"/>
            <rFont val="Segoe UI"/>
            <family val="2"/>
          </rPr>
          <t xml:space="preserve">This measure adresses a minor risk, but it cannot mitigate it (on its own). </t>
        </r>
      </text>
    </comment>
    <comment ref="K39" authorId="0" shapeId="0">
      <text>
        <r>
          <rPr>
            <sz val="9"/>
            <color indexed="81"/>
            <rFont val="Segoe UI"/>
            <family val="2"/>
          </rPr>
          <t xml:space="preserve">This measure adresses a minor risk, but it cannot mitigate it (on its own). </t>
        </r>
      </text>
    </comment>
    <comment ref="C42" authorId="0" shapeId="0">
      <text>
        <r>
          <rPr>
            <sz val="9"/>
            <color indexed="81"/>
            <rFont val="Segoe UI"/>
            <family val="2"/>
          </rPr>
          <t>ILA is offered as a nursing home service and administed by the nursing home</t>
        </r>
      </text>
    </comment>
    <comment ref="C43" authorId="0" shapeId="0">
      <text>
        <r>
          <rPr>
            <sz val="9"/>
            <color indexed="81"/>
            <rFont val="Segoe UI"/>
            <family val="2"/>
          </rPr>
          <t>ILA is offered as a nursing home service and administed by the nursing home</t>
        </r>
      </text>
    </comment>
    <comment ref="E44" authorId="0" shapeId="0">
      <text>
        <r>
          <rPr>
            <sz val="9"/>
            <color indexed="81"/>
            <rFont val="Segoe UI"/>
            <family val="2"/>
          </rPr>
          <t>This measure adresses a major risk, and makes it less severe.</t>
        </r>
      </text>
    </comment>
    <comment ref="J45" authorId="0" shapeId="0">
      <text>
        <r>
          <rPr>
            <sz val="9"/>
            <color indexed="81"/>
            <rFont val="Segoe UI"/>
            <family val="2"/>
          </rPr>
          <t>This measure fully solves a minor risk.</t>
        </r>
      </text>
    </comment>
    <comment ref="C46" authorId="0" shapeId="0">
      <text>
        <r>
          <rPr>
            <sz val="9"/>
            <color indexed="81"/>
            <rFont val="Segoe UI"/>
            <family val="2"/>
          </rPr>
          <t>Several contact persons, not all living nearby, not all frequently available</t>
        </r>
      </text>
    </comment>
    <comment ref="L46" authorId="0" shapeId="0">
      <text>
        <r>
          <rPr>
            <sz val="9"/>
            <color indexed="81"/>
            <rFont val="Segoe UI"/>
            <family val="2"/>
          </rPr>
          <t>This measure fully solves a minor risk.</t>
        </r>
      </text>
    </comment>
    <comment ref="C47" authorId="0" shapeId="0">
      <text>
        <r>
          <rPr>
            <sz val="9"/>
            <color indexed="81"/>
            <rFont val="Segoe UI"/>
            <family val="2"/>
          </rPr>
          <t>Several contact persons, not all living nearby, not all frequently available</t>
        </r>
      </text>
    </comment>
    <comment ref="L47" authorId="0" shapeId="0">
      <text>
        <r>
          <rPr>
            <sz val="9"/>
            <color indexed="81"/>
            <rFont val="Segoe UI"/>
            <family val="2"/>
          </rPr>
          <t>This measure fully solves a minor risk.</t>
        </r>
      </text>
    </comment>
    <comment ref="C54" authorId="0" shapeId="0">
      <text>
        <r>
          <rPr>
            <sz val="9"/>
            <color indexed="81"/>
            <rFont val="Segoe UI"/>
            <family val="2"/>
          </rPr>
          <t>ILA is offered as a nursing home service and administed by the nursing home</t>
        </r>
      </text>
    </comment>
    <comment ref="C55" authorId="0" shapeId="0">
      <text>
        <r>
          <rPr>
            <sz val="9"/>
            <color indexed="81"/>
            <rFont val="Segoe UI"/>
            <family val="2"/>
          </rPr>
          <t>ILA operates as part of a home emergency call service</t>
        </r>
      </text>
    </comment>
    <comment ref="C56" authorId="0" shapeId="0">
      <text>
        <r>
          <rPr>
            <sz val="9"/>
            <color indexed="81"/>
            <rFont val="Segoe UI"/>
            <family val="2"/>
          </rPr>
          <t>ILA operates as part of a home emergency call service</t>
        </r>
      </text>
    </comment>
    <comment ref="C61" authorId="0" shapeId="0">
      <text>
        <r>
          <rPr>
            <sz val="9"/>
            <color indexed="81"/>
            <rFont val="Segoe UI"/>
            <family val="2"/>
          </rPr>
          <t>ILA is offered as a nursing home service and administed by the nursing home</t>
        </r>
      </text>
    </comment>
    <comment ref="C62" authorId="0" shapeId="0">
      <text>
        <r>
          <rPr>
            <sz val="9"/>
            <color indexed="81"/>
            <rFont val="Segoe UI"/>
            <family val="2"/>
          </rPr>
          <t>ILA is offered as a nursing home service and administed by the nursing home</t>
        </r>
      </text>
    </comment>
    <comment ref="C63" authorId="0" shapeId="0">
      <text>
        <r>
          <rPr>
            <sz val="9"/>
            <color indexed="81"/>
            <rFont val="Segoe UI"/>
            <family val="2"/>
          </rPr>
          <t>ILA is paid for by the health insurance</t>
        </r>
      </text>
    </comment>
    <comment ref="C64" authorId="0" shapeId="0">
      <text>
        <r>
          <rPr>
            <sz val="9"/>
            <color indexed="81"/>
            <rFont val="Segoe UI"/>
            <family val="2"/>
          </rPr>
          <t>ILA is paid for by the health insurance</t>
        </r>
      </text>
    </comment>
    <comment ref="C65" authorId="0" shapeId="0">
      <text>
        <r>
          <rPr>
            <sz val="9"/>
            <color indexed="81"/>
            <rFont val="Segoe UI"/>
            <family val="2"/>
          </rPr>
          <t>Person suffering from dementia lives in his/her own home (e.g. appartment or house)</t>
        </r>
      </text>
    </comment>
    <comment ref="C66" authorId="0" shapeId="0">
      <text>
        <r>
          <rPr>
            <sz val="9"/>
            <color indexed="81"/>
            <rFont val="Segoe UI"/>
            <family val="2"/>
          </rPr>
          <t>ILA is paid for by the health insurance</t>
        </r>
      </text>
    </comment>
    <comment ref="C67" authorId="0" shapeId="0">
      <text>
        <r>
          <rPr>
            <sz val="9"/>
            <color indexed="81"/>
            <rFont val="Segoe UI"/>
            <family val="2"/>
          </rPr>
          <t>ILA operates as part of a home emergency call service</t>
        </r>
      </text>
    </comment>
    <comment ref="C68" authorId="0" shapeId="0">
      <text>
        <r>
          <rPr>
            <sz val="9"/>
            <color indexed="81"/>
            <rFont val="Segoe UI"/>
            <family val="2"/>
          </rPr>
          <t>ILA operates as part of a home emergency call service</t>
        </r>
      </text>
    </comment>
    <comment ref="C71" authorId="0" shapeId="0">
      <text>
        <r>
          <rPr>
            <sz val="9"/>
            <color indexed="81"/>
            <rFont val="Segoe UI"/>
            <family val="2"/>
          </rPr>
          <t>ILA is offered as a nursing home service and administed by the nursing home</t>
        </r>
      </text>
    </comment>
    <comment ref="C72" authorId="0" shapeId="0">
      <text>
        <r>
          <rPr>
            <sz val="9"/>
            <color indexed="81"/>
            <rFont val="Segoe UI"/>
            <family val="2"/>
          </rPr>
          <t>Person suffering from dementia lives in in a nursing home</t>
        </r>
      </text>
    </comment>
    <comment ref="C73" authorId="0" shapeId="0">
      <text>
        <r>
          <rPr>
            <sz val="9"/>
            <color indexed="81"/>
            <rFont val="Segoe UI"/>
            <family val="2"/>
          </rPr>
          <t>ILA is paid for by the health insurance</t>
        </r>
      </text>
    </comment>
  </commentList>
</comments>
</file>

<file path=xl/comments4.xml><?xml version="1.0" encoding="utf-8"?>
<comments xmlns="http://schemas.openxmlformats.org/spreadsheetml/2006/main">
  <authors>
    <author>Autor</author>
  </authors>
  <commentList>
    <comment ref="B2" authorId="0" shapeId="0">
      <text>
        <r>
          <rPr>
            <sz val="9"/>
            <color indexed="81"/>
            <rFont val="Segoe UI"/>
            <family val="2"/>
          </rPr>
          <t xml:space="preserve">ILA must provide training material (e.g. videos) in easy language, explaining the contact person's liability and the system's limitations. The documentation should recommend not to use the system if the contact person is ill or unavailable.   </t>
        </r>
      </text>
    </comment>
    <comment ref="E2" authorId="0" shapeId="0">
      <text>
        <r>
          <rPr>
            <sz val="9"/>
            <color indexed="81"/>
            <rFont val="Segoe UI"/>
            <family val="2"/>
          </rPr>
          <t>End user documentation of a software system, regardless of the media used for it (printed, online text, video, audio, …). Includes also dedicated training material.</t>
        </r>
      </text>
    </comment>
    <comment ref="F2" authorId="0" shapeId="0">
      <text>
        <r>
          <rPr>
            <sz val="9"/>
            <color indexed="81"/>
            <rFont val="Segoe UI"/>
            <family val="2"/>
          </rPr>
          <t xml:space="preserve">Safety primarily means protecting a person against harm. It includes also the subjective feeling of "being well protected". </t>
        </r>
      </text>
    </comment>
    <comment ref="B3" authorId="0" shapeId="0">
      <text>
        <r>
          <rPr>
            <sz val="9"/>
            <color indexed="81"/>
            <rFont val="Segoe UI"/>
            <family val="2"/>
          </rPr>
          <t>If there are multiple contact persons, each with limited availability: in that case, ILA's registration process for contact persons must be designed in a such a way that times where none of the contact persons is available, this is immediately visible and obvious. Yes, so and so and so and so on....</t>
        </r>
      </text>
    </comment>
    <comment ref="E3" authorId="0" shapeId="0">
      <text>
        <r>
          <rPr>
            <sz val="9"/>
            <color indexed="81"/>
            <rFont val="Segoe UI"/>
            <family val="2"/>
          </rPr>
          <t xml:space="preserve">Any kind of human-computer interface, regardless of technology. Usually based on software (web UI, app, rich client, etc.), but also including hardware interfaces likes switches or buttons. </t>
        </r>
      </text>
    </comment>
    <comment ref="F3" authorId="0" shapeId="0">
      <text>
        <r>
          <rPr>
            <sz val="9"/>
            <color indexed="81"/>
            <rFont val="Segoe UI"/>
            <family val="2"/>
          </rPr>
          <t xml:space="preserve">Safety primarily means protecting a person against harm. It includes also the subjective feeling of "being well protected". </t>
        </r>
      </text>
    </comment>
    <comment ref="B4" authorId="0" shapeId="0">
      <text>
        <r>
          <rPr>
            <sz val="9"/>
            <color indexed="81"/>
            <rFont val="Segoe UI"/>
            <family val="2"/>
          </rPr>
          <t>Fehler 2015</t>
        </r>
      </text>
    </comment>
    <comment ref="E4" authorId="0" shapeId="0">
      <text>
        <r>
          <rPr>
            <sz val="9"/>
            <color indexed="81"/>
            <rFont val="Segoe UI"/>
            <family val="2"/>
          </rPr>
          <t>End user documentation of a software system, regardless of the media used for it (printed, online text, video, audio, …). Includes also dedicated training material.</t>
        </r>
      </text>
    </comment>
    <comment ref="F4" authorId="0" shapeId="0">
      <text>
        <r>
          <rPr>
            <sz val="9"/>
            <color indexed="81"/>
            <rFont val="Segoe UI"/>
            <family val="2"/>
          </rPr>
          <t xml:space="preserve">Safety primarily means protecting a person against harm. It includes also the subjective feeling of "being well protected". </t>
        </r>
      </text>
    </comment>
    <comment ref="B5" authorId="0" shapeId="0">
      <text>
        <r>
          <rPr>
            <sz val="9"/>
            <color indexed="81"/>
            <rFont val="Segoe UI"/>
            <family val="2"/>
          </rPr>
          <t>ILA must be able to automatically forward a distress call to an emergency call system.</t>
        </r>
      </text>
    </comment>
    <comment ref="E5" authorId="0" shapeId="0">
      <text>
        <r>
          <rPr>
            <sz val="9"/>
            <color indexed="81"/>
            <rFont val="Segoe UI"/>
            <family val="2"/>
          </rPr>
          <t>Call of an external system in order to obtain additional functionality.</t>
        </r>
      </text>
    </comment>
    <comment ref="F5" authorId="0" shapeId="0">
      <text>
        <r>
          <rPr>
            <sz val="9"/>
            <color indexed="81"/>
            <rFont val="Segoe UI"/>
            <family val="2"/>
          </rPr>
          <t xml:space="preserve">Safety primarily means protecting a person against harm. It includes also the subjective feeling of "being well protected". </t>
        </r>
      </text>
    </comment>
    <comment ref="B6" authorId="0" shapeId="0">
      <text>
        <r>
          <rPr>
            <sz val="9"/>
            <color indexed="81"/>
            <rFont val="Segoe UI"/>
            <family val="2"/>
          </rPr>
          <t>ILA must be able to automatically forward a distress call to an emergency call system.</t>
        </r>
      </text>
    </comment>
    <comment ref="E6" authorId="0" shapeId="0">
      <text>
        <r>
          <rPr>
            <sz val="9"/>
            <color indexed="81"/>
            <rFont val="Segoe UI"/>
            <family val="2"/>
          </rPr>
          <t>A calculus to model a certain behaviour, or solve a problem. There is a grey area between an entity's business logic (belongs to Data Entity) and an Algorithm (which needs so much code that you would write a dedicated class or event service for it).</t>
        </r>
      </text>
    </comment>
    <comment ref="F6" authorId="0" shapeId="0">
      <text>
        <r>
          <rPr>
            <sz val="9"/>
            <color indexed="81"/>
            <rFont val="Segoe UI"/>
            <family val="2"/>
          </rPr>
          <t xml:space="preserve">Safety primarily means protecting a person against harm. It includes also the subjective feeling of "being well protected". </t>
        </r>
      </text>
    </comment>
    <comment ref="B7" authorId="0" shapeId="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7" authorId="0" shapeId="0">
      <text>
        <r>
          <rPr>
            <sz val="9"/>
            <color indexed="81"/>
            <rFont val="Segoe UI"/>
            <family val="2"/>
          </rPr>
          <t>End user documentation of a software system, regardless of the media used for it (printed, online text, video, audio, …). Includes also dedicated training material.</t>
        </r>
      </text>
    </comment>
    <comment ref="F7" authorId="0" shapeId="0">
      <text>
        <r>
          <rPr>
            <sz val="9"/>
            <color indexed="81"/>
            <rFont val="Segoe UI"/>
            <family val="2"/>
          </rPr>
          <t>Care is given and decisions and responsibility are taken on behalf of the other – the one in need – to the extent that that person is no longer able to do these things themselves [...].</t>
        </r>
      </text>
    </comment>
    <comment ref="B8" authorId="0" shapeId="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8" authorId="0" shapeId="0">
      <text>
        <r>
          <rPr>
            <sz val="9"/>
            <color indexed="81"/>
            <rFont val="Segoe UI"/>
            <family val="2"/>
          </rPr>
          <t>End user documentation of a software system, regardless of the media used for it (printed, online text, video, audio, …). Includes also dedicated training material.</t>
        </r>
      </text>
    </comment>
    <comment ref="F8" authorId="0" shapeId="0">
      <text>
        <r>
          <rPr>
            <sz val="9"/>
            <color indexed="81"/>
            <rFont val="Segoe UI"/>
            <family val="2"/>
          </rPr>
          <t>Care is given and decisions and responsibility are taken on behalf of the other – the one in need – to the extent that that person is no longer able to do these things themselves [...].</t>
        </r>
      </text>
    </comment>
    <comment ref="B9" authorId="0" shapeId="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9" authorId="0" shapeId="0">
      <text>
        <r>
          <rPr>
            <sz val="9"/>
            <color indexed="81"/>
            <rFont val="Segoe UI"/>
            <family val="2"/>
          </rPr>
          <t>End user documentation of a software system, regardless of the media used for it (printed, online text, video, audio, …). Includes also dedicated training material.</t>
        </r>
      </text>
    </comment>
    <comment ref="F9" authorId="0" shapeId="0">
      <text>
        <r>
          <rPr>
            <sz val="9"/>
            <color indexed="81"/>
            <rFont val="Segoe UI"/>
            <family val="2"/>
          </rPr>
          <t>The term autonomy […] is nowadays often equated with an individual’s maximum freedom of decision and action.</t>
        </r>
      </text>
    </comment>
  </commentList>
</comments>
</file>

<file path=xl/sharedStrings.xml><?xml version="1.0" encoding="utf-8"?>
<sst xmlns="http://schemas.openxmlformats.org/spreadsheetml/2006/main" count="734" uniqueCount="425">
  <si>
    <t>Care</t>
  </si>
  <si>
    <t>Autonomy</t>
  </si>
  <si>
    <t>Safety</t>
  </si>
  <si>
    <t>Fairness</t>
  </si>
  <si>
    <t>Privacy</t>
  </si>
  <si>
    <t>Participation</t>
  </si>
  <si>
    <t>Self-Conception</t>
  </si>
  <si>
    <t>Profitability</t>
  </si>
  <si>
    <t>Opportunity</t>
  </si>
  <si>
    <t>Stakeholder</t>
  </si>
  <si>
    <t>Level</t>
  </si>
  <si>
    <t>Criterion</t>
  </si>
  <si>
    <t>C</t>
  </si>
  <si>
    <t>Abbreviations</t>
  </si>
  <si>
    <t>S</t>
  </si>
  <si>
    <t>Scenario</t>
  </si>
  <si>
    <t>G</t>
  </si>
  <si>
    <t>Goal</t>
  </si>
  <si>
    <t>R</t>
  </si>
  <si>
    <t>Risk</t>
  </si>
  <si>
    <t>Number</t>
  </si>
  <si>
    <t>Kind of Effect</t>
  </si>
  <si>
    <t>strongly negative</t>
  </si>
  <si>
    <t>none</t>
  </si>
  <si>
    <t>No effect</t>
  </si>
  <si>
    <t>slightly negative</t>
  </si>
  <si>
    <t>What does that mean for a person?</t>
  </si>
  <si>
    <t>What does that mean for an organisation?</t>
  </si>
  <si>
    <t>slightly positive</t>
  </si>
  <si>
    <t>strongly positive</t>
  </si>
  <si>
    <t>ID</t>
  </si>
  <si>
    <t>by …</t>
  </si>
  <si>
    <t>For Stakeholder …</t>
  </si>
  <si>
    <t>I</t>
  </si>
  <si>
    <t>O</t>
  </si>
  <si>
    <t>What does that mean for society?</t>
  </si>
  <si>
    <t>The term autonomy […] is nowadays often equated with an individual’s maximum freedom of decision and action.</t>
  </si>
  <si>
    <t>Care is given and decisions and responsibility are taken on behalf of the other – the one in need – to the extent that that person is no longer able to do these things themselves [...].</t>
  </si>
  <si>
    <t>Nursing Home</t>
  </si>
  <si>
    <t>Health Insurance</t>
  </si>
  <si>
    <t>ILA Startup</t>
  </si>
  <si>
    <t>Society</t>
  </si>
  <si>
    <t xml:space="preserve">Fairness means that the same standards are applied to everyone, and that ressources are provided according to degree of neediness. </t>
  </si>
  <si>
    <t>Participation […] means providing people with access, rights, services, and assets that enable them to live together with other people in society.</t>
  </si>
  <si>
    <t>Letter</t>
  </si>
  <si>
    <t>Meaning</t>
  </si>
  <si>
    <t>Dimension</t>
  </si>
  <si>
    <t>I, S</t>
  </si>
  <si>
    <t>O, S</t>
  </si>
  <si>
    <t>I, O, S</t>
  </si>
  <si>
    <t xml:space="preserve">Profitability means an organisation's ability to fund its operations and strategic development out of its revenues. </t>
  </si>
  <si>
    <t>Person Suffering From Dementia</t>
  </si>
  <si>
    <t>System might affect …</t>
  </si>
  <si>
    <t>Type</t>
  </si>
  <si>
    <t>Person suffering from dementia lives in in a nursing home</t>
  </si>
  <si>
    <t>Contact Person</t>
  </si>
  <si>
    <t>One main contact person living in same household or nearby, frequently available, and capable of helping</t>
  </si>
  <si>
    <t>Several contact persons, not all living nearby, not all frequently available</t>
  </si>
  <si>
    <t xml:space="preserve">Legal Status </t>
  </si>
  <si>
    <t xml:space="preserve">Place Of Residence </t>
  </si>
  <si>
    <t>Person suffering from dementia is still legally competent to sign any documents</t>
  </si>
  <si>
    <t>Person suffering from dementia is under guardianship</t>
  </si>
  <si>
    <t>for the following reason (in the best case for positive effects, in the worst case for negative effects) …</t>
  </si>
  <si>
    <t xml:space="preserve">Every time ILA produces "false alerts", the person suffering from dementia will feel checked on, or micro-managed (because a contact persons appears offering help that the person does not need in this moment). In the worst case, ILA might be perceived as a system that allows an external person to control one's movements. </t>
  </si>
  <si>
    <t>In the best case scenario, ILA might give a contact person some "peace of mind" with regard to the well-being of a related person suffering from dementia. ILA might help the contact person to better handle a great responsibility.</t>
  </si>
  <si>
    <t>If there are several contact persons sharing the responsibility, in the worst case one contact might have to handle a lot more load than others.</t>
  </si>
  <si>
    <t xml:space="preserve">If ILA produces many false alerts, the frequent calls for support might cause considerable effort for the contact person. </t>
  </si>
  <si>
    <t xml:space="preserve">If ILA fulfills its promises, there will be less situations where a caregiver feels she should prevent a patient with dementia from going outside (for safety reasons, and with subtle means, as this is officially illegal). </t>
  </si>
  <si>
    <t xml:space="preserve">Administration of ILA (handling of GPS sensor, battery monitoring and change, administration of data, …) might require some effort from the contact person. </t>
  </si>
  <si>
    <t>Nursing  Home Management</t>
  </si>
  <si>
    <t>Does the system save effort (time, money, responsibilities, …), or does it require additional resources for its operation (compared to a situation without the system)?</t>
  </si>
  <si>
    <t>Liability</t>
  </si>
  <si>
    <t xml:space="preserve">In the best case scenario, with the help of ILA there might be less situations where an inhabitant of the nursing home goes missing, and the police needs to be notified. </t>
  </si>
  <si>
    <t>If the nursing home is in any way (co-)responsible for the introduction and use of ILA, any failure might backfire and cast a bad light on the management.</t>
  </si>
  <si>
    <t>Administration of ILA (handling of GPS sensor, battery monitoring and change, administration of data, …) might require some effort from the nursing home management, if the operation of ILA is in their hands.</t>
  </si>
  <si>
    <t>Scen1</t>
  </si>
  <si>
    <t>Scen2</t>
  </si>
  <si>
    <t>Opportunity describes an organisation's ability and position to drive innovation, expand its market share, improve customer loyalty, or pursue any other strategic goals.</t>
  </si>
  <si>
    <t>If the registration process for ILA requires the person suffering from dementia to go to unusual places (e.g. the nursing home management office), this process might be perceived as uncomfortable. If the person is confused, she might e.g. think that she has done something wrong, and is about to be "punished".</t>
  </si>
  <si>
    <t>In the best possible case, ILA will contribute to persons suffering from dementia living longer in their own home, thus saving cost for the health insurance.</t>
  </si>
  <si>
    <t>If ILA is sucessful, the insurance's reputation may benefit for offering such an innovative service.</t>
  </si>
  <si>
    <t>ILA Sponsorship</t>
  </si>
  <si>
    <t>ILA is paid for by the person suffering from dementia, or a relative</t>
  </si>
  <si>
    <t>ILA is paid for by the health insurance</t>
  </si>
  <si>
    <t>ILA operates as part of a home emergency call service</t>
  </si>
  <si>
    <t xml:space="preserve">The ILA provider will earn money with the product. </t>
  </si>
  <si>
    <t xml:space="preserve">A B2B connection to ILA might cause severe technical efforts for the home emergency call system operator (APIs, connectivity functionality). </t>
  </si>
  <si>
    <t>The business model of the home emergency call system might have to be changed in order to work together with ILA (integration with the mobile emergency service).</t>
  </si>
  <si>
    <t>If ILA works as planned, a timely intervention may stop a challenging situation (say, a panic attack) into escalating into an actual emergency.</t>
  </si>
  <si>
    <t>Emergency Call System Operator</t>
  </si>
  <si>
    <t>If ILA operation is coupled to an emergency call system, there might be additional technical constraints on hardware and support model, affecting profitability.</t>
  </si>
  <si>
    <t xml:space="preserve">ILA has the potential to generelly improve autonomy of persons suffering from dementia, if rolled out on a broad scale. </t>
  </si>
  <si>
    <t xml:space="preserve">ILA has the potential to generelly improve particicaption of persons suffering from dementia, if rolled out on a broad scale. </t>
  </si>
  <si>
    <t>If poorly implemented, ILA might contribute to a general loss of privacy by technical support solutions.</t>
  </si>
  <si>
    <t>Selling ILA as a value adding feature might generate an additional profit for the emergency call operator.</t>
  </si>
  <si>
    <t xml:space="preserve">The technical effort for connecting ILA might be more costly than the additional revenue. </t>
  </si>
  <si>
    <t>Requirement</t>
  </si>
  <si>
    <t>RQ</t>
  </si>
  <si>
    <t xml:space="preserve">Safety primarily means protecting a person against harm. It includes also the subjective feeling of "being well protected". </t>
  </si>
  <si>
    <t>Stakeholder:</t>
  </si>
  <si>
    <t xml:space="preserve">Dimension: </t>
  </si>
  <si>
    <t>A person suffering from dementia can leave her living quarters with the assurance that she will be helped, in case she loses her way, or has a panic attack. In addition, caregivers or relatives have less incentives to keep the person from going out (for safety reasons, in a more or less subtle manner).</t>
  </si>
  <si>
    <t>Realization</t>
  </si>
  <si>
    <t>Potential</t>
  </si>
  <si>
    <t>Explanation</t>
  </si>
  <si>
    <t>This measure contributes to a major goal, but is not sufficient to realize it (on its own).</t>
  </si>
  <si>
    <t>Index</t>
  </si>
  <si>
    <t>This measure fully realizes a minor goal.</t>
  </si>
  <si>
    <t>This measure adresses a major risk, and makes it less severe.</t>
  </si>
  <si>
    <t>This measure fully solves a minor risk.</t>
  </si>
  <si>
    <t>This measure fully solves a major risk.</t>
  </si>
  <si>
    <t xml:space="preserve">This measure adresses a major risk, but it cannot mitigate it (on its own). </t>
  </si>
  <si>
    <t xml:space="preserve">This measure adresses a minor risk, but it cannot mitigate it (on its own). </t>
  </si>
  <si>
    <t>This measure contributes to a minor goal, but is not sufficient to realize it (on its own).</t>
  </si>
  <si>
    <t>This measure partially realizes a major goal.</t>
  </si>
  <si>
    <t>This measure fully realizes a major goal.</t>
  </si>
  <si>
    <t>This cannot happen.</t>
  </si>
  <si>
    <t>Realization Explanation</t>
  </si>
  <si>
    <t>RQ004</t>
  </si>
  <si>
    <t>Similar to the autonomy gain, the option to freely leave one's home makes it easier for the person suffering from dementia to participate in social events, without being accompanied by a relative or a caregiver.</t>
  </si>
  <si>
    <t>The person herself, and nearly all persons around her, notice a clear improvement in the person's physical or mental well-being, financial situation, or social context.</t>
  </si>
  <si>
    <t>The person herself, or some persons around her, notice a slight improvement on certain aspects of the person's physical or mental well-being, financial situation, or social context.</t>
  </si>
  <si>
    <t>The person herself, or some persons around her, notice slight risks for, or a slight degradation of, a person's well-being, financial situation, or social context.</t>
  </si>
  <si>
    <t>The person herself, and nearly all persons around her, notice strong risks for, or a clear degradation of, a person's well-being, financial situation, or social context.</t>
  </si>
  <si>
    <t>Individual stakeholders report a slight improvement in some organisational aspect (processes, workforce, finance, market situation, …). The effect is not necessarily noticed by everyone in the organisation, nor does it have to show clearly in the usual indicators.</t>
  </si>
  <si>
    <t>Some stakeholders of the organisation report some additional strain or risks (additional workload, costs, organisational hassle, market risks, financial risks, ...). The effect is not necessarily noticed by everyone in the organisation, nor does it have to show clearly in the usual indicators.</t>
  </si>
  <si>
    <t>Multiple stakeholders independently report substantial additional strain or risks (workload, costs, organisational hassle, market risks, financial risks, ...). The effect is noticed throughout the organisation, and can be clearly measured by indicators.</t>
  </si>
  <si>
    <t>Multiple stakeholders independently report a substantial  improvement in some organisational aspect (processes, workforce, finance, market situation, …). The effect can be clearly measured by the usual indicators.</t>
  </si>
  <si>
    <t>Members of the same societal group consistently report substantial improvements in some aspect. The effect can be clearly measured by indicators.</t>
  </si>
  <si>
    <t>Some members of a societal group report slight improvements in some aspect. The effect does not necessarily show up in any indicator.</t>
  </si>
  <si>
    <t>Some members of a societal group report additional strain or risks in some aspect. The effect does not necessarily show up in any indicator.</t>
  </si>
  <si>
    <t>Members of the same societal group consistently report substantial additional strain or risks in some aspect. The effect can be clearly measured by indicators.</t>
  </si>
  <si>
    <t>(1) Transparency: inform data subject about data use. (2) Purpose limitation / minimization: Store as few data as possible, and use it only for its dedicated purpose. (3) Integrity: prevent unauthorized access. (4) The right to be forgotten.</t>
  </si>
  <si>
    <t>Costs &amp; Benefits</t>
  </si>
  <si>
    <t xml:space="preserve">A persons' freedom to evaluate and perceive herself according to her own personal mental model. Strongly related is the perceived self-efficacy, the expectation to successfully carry out intended acts based on one's competences. </t>
  </si>
  <si>
    <t>Social Impact</t>
  </si>
  <si>
    <t xml:space="preserve">If ILA is difficult to administrate, and/or is unreliable in execution, the contact person may get a feeling of "being too stupid to use the system properly". </t>
  </si>
  <si>
    <t>If ILA reliably informs about exceptional situations, it will effectively support the contact person to be a "guardian angel". In that case, the contact person can feel good about her own role.</t>
  </si>
  <si>
    <t>A caregiver may feel better about her own role, if she can allow to let a person suffering from dementia leave the nursing home at any time, with less worries about risks.</t>
  </si>
  <si>
    <t xml:space="preserve">The overall promise of a properly working ILA is supports a health insurance's self image as an "organisation intended to help by innovative means". </t>
  </si>
  <si>
    <t>Location with Alert Button</t>
  </si>
  <si>
    <t>Alert Button User</t>
  </si>
  <si>
    <t>An employee in a location with alert button might fear to have her actions tracked and judged - has she reacted properly if a person suffering from dementia has had a panic attack in her shop?</t>
  </si>
  <si>
    <t>An employee in a location may feel relieved that she an just hit the alert button if a person suffering from dementia has a panic attack in her shop. It saves her the troubles to call for help through other channels.</t>
  </si>
  <si>
    <t>A shop or a medical practice could perceive ILA as a way of "doing good".</t>
  </si>
  <si>
    <t>A shop or a medical practice might fear legal risks of an alert button - can the shop / practice be sued if the alert button is NOT hit in time?</t>
  </si>
  <si>
    <t>Administration of an alert button may cause additional efforts for the shop's / practice's organisation.</t>
  </si>
  <si>
    <t>The alert button(s) may cost money to purchase for the shop / practice.</t>
  </si>
  <si>
    <t>If ILA works well, an alert button may save money and efforts for the shop / practice in case of exceptional situations with customers suffering from dementia.</t>
  </si>
  <si>
    <t>Origin</t>
  </si>
  <si>
    <t>Description</t>
  </si>
  <si>
    <t>I =</t>
  </si>
  <si>
    <t>individual level</t>
  </si>
  <si>
    <t>O =</t>
  </si>
  <si>
    <t>S =</t>
  </si>
  <si>
    <t>societal level</t>
  </si>
  <si>
    <t>organisational level</t>
  </si>
  <si>
    <t># Goals/Risks</t>
  </si>
  <si>
    <t>Summe</t>
  </si>
  <si>
    <t>Team 1</t>
  </si>
  <si>
    <t>Team 2</t>
  </si>
  <si>
    <t>Team 3</t>
  </si>
  <si>
    <t>Team 4</t>
  </si>
  <si>
    <t>Registration</t>
  </si>
  <si>
    <t>Zone Alert System</t>
  </si>
  <si>
    <t>Broadcast System</t>
  </si>
  <si>
    <t>Alert Button</t>
  </si>
  <si>
    <t>Domains</t>
  </si>
  <si>
    <t>Domain</t>
  </si>
  <si>
    <t>Data Entity</t>
  </si>
  <si>
    <t>API</t>
  </si>
  <si>
    <t>UI</t>
  </si>
  <si>
    <t>Algorithm</t>
  </si>
  <si>
    <t>Process</t>
  </si>
  <si>
    <t>Documentation</t>
  </si>
  <si>
    <t>covered?</t>
  </si>
  <si>
    <t>Persistent domain entity (in the DDD sense), i.e. an important concept of the business domain with a persistance representation in some kind of database.</t>
  </si>
  <si>
    <t>Any kind of documented interface between software/hardware components, regardless of its technology or protocol.</t>
  </si>
  <si>
    <t xml:space="preserve">Any kind of human-computer interface, regardless of technology. Usually based on software (web UI, app, rich client, etc.), but also including hardware interfaces likes switches or buttons. </t>
  </si>
  <si>
    <t>A calculus to model a certain behaviour, or solve a problem. There is a grey area between an entity's business logic (belongs to Data Entity) and an Algorithm (which needs so much code that you would write a dedicated class or event service for it).</t>
  </si>
  <si>
    <t>A centrally orchestrated sequence of business events, implemented in whatever technology (BPMN, code, …). The process activities involve calls to Data Entities, APIs, or Algorithms.</t>
  </si>
  <si>
    <t>End user documentation of a software system, regardless of the media used for it (printed, online text, video, audio, …). Includes also dedicated training material.</t>
  </si>
  <si>
    <t>Component Type</t>
  </si>
  <si>
    <r>
      <t>Social Impact</t>
    </r>
    <r>
      <rPr>
        <i/>
        <sz val="11"/>
        <color theme="1"/>
        <rFont val="Calibri"/>
        <family val="2"/>
        <scheme val="minor"/>
      </rPr>
      <t xml:space="preserve"> (Source: MEESTAR)</t>
    </r>
  </si>
  <si>
    <t>RQ001</t>
  </si>
  <si>
    <t>RQ002</t>
  </si>
  <si>
    <t>RQ003</t>
  </si>
  <si>
    <t>** to be decided **</t>
  </si>
  <si>
    <t>Provide video in easy language about how the alert mechanism in ILA works, targeted at potential contact persons. The video should explain how much depends on the contact person's timely reaction.</t>
  </si>
  <si>
    <t xml:space="preserve">Provide video in easy language that explains the importance of contact persons' availability, in case there is more than one contact person. </t>
  </si>
  <si>
    <t xml:space="preserve">If there are multiple contact persons, each with limited availability: in that case, ILA's registration process for contact persons must be designed in a such a way that times where none of the contact persons is available, this is immediately visible and obvious. </t>
  </si>
  <si>
    <t>API Call</t>
  </si>
  <si>
    <t>Call of an external system in order to obtain additional functionality.</t>
  </si>
  <si>
    <t>There must be a synchronous call to the external API of an emergency call system (like by Malteser, Johanniter, DRK, …). All necessery data (patient identification and location) need to be transmitted as well.</t>
  </si>
  <si>
    <t>Create an algorithm that decides when none of the registered contact persons will react in time. If so, place the API call to the emergency call system. The algorithm needs to deal with situations like a contact person reacting later - what to do with the emergency system call in that case?</t>
  </si>
  <si>
    <t>Adresses</t>
  </si>
  <si>
    <t>ILA must provide introductory training material for caregivers and nursing home management, explaining recommendations for ILA registration and tracker use within these organisations.</t>
  </si>
  <si>
    <t>Provide video in easy language, targeted at caregivers in nursing homes, explaining how to avoid confusing situations (for the patients suffering from dementia) with the ILA registration process.</t>
  </si>
  <si>
    <t>Epic Text</t>
  </si>
  <si>
    <t>Epic Title</t>
  </si>
  <si>
    <t>Provide video in easy language, targeted at contact persons and caregivers in nursing homes, explaining how to deal with trackers implanted in the patients' shoes (maintenance etc.)</t>
  </si>
  <si>
    <t>Design a Contact Person Availability UI element in such a way that gaps in contact person availability are immediately obvious. E.g. use a timeline with coloured availability bars for different contact persons.</t>
  </si>
  <si>
    <t>Video on alert mechanism</t>
  </si>
  <si>
    <t>UI for contact person availability</t>
  </si>
  <si>
    <t>Video explaining need for timely intervention</t>
  </si>
  <si>
    <t>API call to external emergency call system</t>
  </si>
  <si>
    <t>Broadcast scheduling algorithm with call to emergency system</t>
  </si>
  <si>
    <t>Video on registration process in nursing homes</t>
  </si>
  <si>
    <t>Video on tracker maintenance</t>
  </si>
  <si>
    <t>Video on ILA benefits</t>
  </si>
  <si>
    <t xml:space="preserve">Create a video in easy language, describing the ILA benefits for persons suffering from dementia in terms of autonomy and participation. </t>
  </si>
  <si>
    <t xml:space="preserve">If ILA is successful, the startup behind ILA will be able to grow. </t>
  </si>
  <si>
    <t>Display</t>
  </si>
  <si>
    <t xml:space="preserve">Display:  </t>
  </si>
  <si>
    <t>No.</t>
  </si>
  <si>
    <t>1_NursingHome</t>
  </si>
  <si>
    <t>2_OneContact</t>
  </si>
  <si>
    <t>2_SeveralContacts</t>
  </si>
  <si>
    <t>3_LegallyComp</t>
  </si>
  <si>
    <t>3_Guardianship</t>
  </si>
  <si>
    <t>1_OwnHome</t>
  </si>
  <si>
    <t>Person suffering from dementia lives in his/her own home (e.g. appartment or house)</t>
  </si>
  <si>
    <t>ILA Administration</t>
  </si>
  <si>
    <t>ILA Business Model</t>
  </si>
  <si>
    <t>5_StandAlone</t>
  </si>
  <si>
    <t>5_WithEmergCall</t>
  </si>
  <si>
    <t>4_AdminContact</t>
  </si>
  <si>
    <t>4_AdminNurHome</t>
  </si>
  <si>
    <t>ILA is administered by a contact person</t>
  </si>
  <si>
    <t>ILA is offered as a nursing home service and administed by the nursing home</t>
  </si>
  <si>
    <t>ILA is offered as a standalone platform</t>
  </si>
  <si>
    <t>6_SelfPaid</t>
  </si>
  <si>
    <t>6_PaidByHeathIns</t>
  </si>
  <si>
    <t>0 = blank</t>
  </si>
  <si>
    <t>1 = ein Szenario</t>
  </si>
  <si>
    <t>2 = ein anderes Szenario</t>
  </si>
  <si>
    <t>GR applies</t>
  </si>
  <si>
    <t>Stakeholder Tab</t>
  </si>
  <si>
    <t>GR Tab</t>
  </si>
  <si>
    <t>Scen1 applies</t>
  </si>
  <si>
    <t>Scen2 applies</t>
  </si>
  <si>
    <t>Potential Degree</t>
  </si>
  <si>
    <t>Nursing Home Caregiver</t>
  </si>
  <si>
    <t>Actual Degree</t>
  </si>
  <si>
    <t>Req_Scen matches Stakeholder Scenarios?</t>
  </si>
  <si>
    <t>Req</t>
  </si>
  <si>
    <t>Realized Degree</t>
  </si>
  <si>
    <t>Prio</t>
  </si>
  <si>
    <t xml:space="preserve">A shop or medical practice might feel "pressed" into using the system, because competitors in their neighbourhood do that, too - could caused "poor PR" if they refuse. </t>
  </si>
  <si>
    <t>If ILA is implemented improperly, a contact person or an unauthorized 3rd party could track the movements of the person suffering from dementia. (Violation of "Integrity" Principle)</t>
  </si>
  <si>
    <t>The information about the dementia illness might used improperly, e.g. for marketing purposes. (Violation of "Purpose Limitation" Principle)</t>
  </si>
  <si>
    <t>If the data is not deleted from ILA's data bases after termination of an ILA account, undesired effects (like false alerts) might occur. (Violation of "Right to be Forgotten" Principle)</t>
  </si>
  <si>
    <t>If the contact person's data is not deleted from ILA's data bases after termination of an ILA account, undesired effects (like false alerts) might occur. (Violation of "Right to be Forgotten" Principle)</t>
  </si>
  <si>
    <t>The idea that "my data is stored somewhere" might alienate the person suffering from dementia. (Violation of "Transparency" Principle)</t>
  </si>
  <si>
    <t>If ILA is implemented improperly, personal information could be obtained illegally, like e.g. credit card information. (Violation of "Integrity" Principle)</t>
  </si>
  <si>
    <t>If ILA is implemented improperly, personal information about a contact person could be used in an unintended way, e.g. for marketing purposes. (Violation of "Purpose Limitation" Principle)</t>
  </si>
  <si>
    <t>The idea that "my data is stored somewhere" might be frightening for a contact person. (Violation of "Transparency" Principle)</t>
  </si>
  <si>
    <t>If ILA requires the alarm button user to register in the system, she might worry what data is stored about her, and where. (Violation of "Transparency" Principle)</t>
  </si>
  <si>
    <t>If the alert button user's data is not deleted from ILA's data bases after termination of an ILA account, undesired effects (like being contacted for no reason) might occur. (Violation of "Right to be Forgotten" Principle)</t>
  </si>
  <si>
    <t>If ILA is implemented improperly, personal information about an alert button user might be used in an unintended way, or accessed illegally. (Violation of "Purpose Limitation" or "Integrity" Principle)</t>
  </si>
  <si>
    <t>If ILA is implemented improperly, sensitive information about the shop / practice could be used in an unintended way, e.g. for marketing purposes. (Violation of "Purpose Limitation" Principle)</t>
  </si>
  <si>
    <t>If the shop / practice's data is not deleted from ILA's data bases after termination of an ILA account, undesired effects (like false alerts) might occur. (Violation of "Right to be Forgotten" Principle)</t>
  </si>
  <si>
    <t>The idea that "my data is stored somewhere" might cause worry for a shop or practice, esp. if it deals with sensitive personal information (e.g. a doctor's practice). (Violation of "Transparency" Principle)</t>
  </si>
  <si>
    <t>If ILA is implemented improperly, personal information about the manager could be obtained illegally, like e.g. credit card information. (Violation of "Integrity" Principle)</t>
  </si>
  <si>
    <t>If ILA is implemented improperly, personal information about the manager could be used in an unintended way, e.g. for marketing purposes. (Violation of "Purpose Limitation" Principle)</t>
  </si>
  <si>
    <t>If the nursing home manager's data is not deleted from ILA's data bases after termination of an ILA account, undesired effects (like false alerts) might occur. (Violation of "Right to be Forgotten" Principle)</t>
  </si>
  <si>
    <t>The idea that "my data is stored somewhere" might worry a nursing home manager. (Violation of "Transparency" Principle)</t>
  </si>
  <si>
    <t>A Data Privacy failure in ILA might be a legal problem for the nursing home owner, if the nursing home is in any way (co-)responsible for the introduction and use of ILA. (Violation of "Purpose Limitation" or "Integrity" Principle)</t>
  </si>
  <si>
    <t xml:space="preserve">If ILA fails to display in a transparent way what nursing home data is used for what purpose, the nursing home runs an operative risk. (Violation of "Transparency" or "Right to be Forgotten" Principle) </t>
  </si>
  <si>
    <t xml:space="preserve">Usage of ILA might make operations easier, due to less emergency (missing patients) situations. </t>
  </si>
  <si>
    <t>The ILA offering might be a competitive advantage for the nursing home, enabling it to present itself as innovative.</t>
  </si>
  <si>
    <t xml:space="preserve">In case ILA is a service covered by health insurance, then there is a risk of unfair selection of patients who are entitled to it. </t>
  </si>
  <si>
    <t xml:space="preserve">ILA must be taken up as service in the insurance's catalogue of benefits. </t>
  </si>
  <si>
    <t>If ILA is offered as an innovative health insurance service, the insurance's reputation is at stake in case something goes wrong with the product.</t>
  </si>
  <si>
    <t>ILA might be perceived as a value-adding feature to an early-adopting emergency call system, improving its market position compared to competitors.</t>
  </si>
  <si>
    <t>The interface between ILA and emergency call system operator might be a risk for data leaks, if poorly implemented. (Violation of "Integrity" Principle)</t>
  </si>
  <si>
    <t xml:space="preserve">The company behind ILA will run an existential risk in case of product liability lawsuits. </t>
  </si>
  <si>
    <t>The company behind ILA will run an existential risk in case of any detected privacy violations (all principles).</t>
  </si>
  <si>
    <t xml:space="preserve">If ILA operation is coupled to an emergency call system, a potential package deal might boost sales. </t>
  </si>
  <si>
    <t xml:space="preserve">If there is just one contact person, there is a risk that ILA focuses the responsibility for the person suffering from demential solely on this contact person. It might wear out that person. </t>
  </si>
  <si>
    <t>1a</t>
  </si>
  <si>
    <t>2b</t>
  </si>
  <si>
    <t>X</t>
  </si>
  <si>
    <t>Y</t>
  </si>
  <si>
    <t>Z</t>
  </si>
  <si>
    <t>Szen1</t>
  </si>
  <si>
    <t>Szen2</t>
  </si>
  <si>
    <t>2c</t>
  </si>
  <si>
    <t>Contact Person(s)</t>
  </si>
  <si>
    <t>ST_Flags_Pot</t>
  </si>
  <si>
    <t>ST_Flags_Real</t>
  </si>
  <si>
    <t xml:space="preserve">If a contact person changes (involuntarily or deliberately) the contact information for another contact person, this might lead to no one reacting to an exceptional situation, thus leading to a false sense of safety. </t>
  </si>
  <si>
    <t>In case no contact person comes to help in a challenging situation (or the contact person needs too much time to come), a person suffering from dementia may perceive this as a kind of betrayal - this way her subjective sense of safety might be severely impacted.</t>
  </si>
  <si>
    <t xml:space="preserve">The constant risk of being alerted might severely impact the contact person's freedom to plan her own time. </t>
  </si>
  <si>
    <t xml:space="preserve">ILA must offer a way of canceling an alert button in a shop or medical practice, in order to reduce the number of false alerts. </t>
  </si>
  <si>
    <t>ILA must make sure that an alert is cancelled once the person suffering from dementia is back in her usual zone</t>
  </si>
  <si>
    <t>ILA must implement the option to show a list of recent false alerts, with an explanation, so that the administrator has the option to adjust the settings (e.g. the usual places zone).</t>
  </si>
  <si>
    <t>The administrator must be able to set grace period before an alert about leaving the "usual zone" is triggered.</t>
  </si>
  <si>
    <t xml:space="preserve">ILA must provide a consent form for the contact person in easy language, explaining data usage, rights, and obligations. </t>
  </si>
  <si>
    <t xml:space="preserve">ILA must provide a consent form for the person suffering from dementia in easy language, explaining data usage, rights, and obligations. </t>
  </si>
  <si>
    <t xml:space="preserve">The alert button must be "plug&amp;play" to install for shops or medical practices. </t>
  </si>
  <si>
    <t xml:space="preserve">Alert buttons must be free of charge for shops or medical practices; the ILA business model must cover this. </t>
  </si>
  <si>
    <t xml:space="preserve">ILA must contain some easy-to-understand warning mechanism for administrators to notify them when a tracker is running out of battery. </t>
  </si>
  <si>
    <t>ILA must come with visual instructions in easy language, explaining how to set up a tracker, change batteries, switch trackers etc.</t>
  </si>
  <si>
    <t xml:space="preserve">The ILA business model must contain some mechanism to exchange alert buttons when they stop working (e.g. by sending out replacements). </t>
  </si>
  <si>
    <t>ILA must provide a way for contact persons to communicate unavailability to other contact persons who need to "jump in" then.</t>
  </si>
  <si>
    <t xml:space="preserve">ILA must make sure a contact person an only change her own contact information, not that of others. </t>
  </si>
  <si>
    <t xml:space="preserve">ILA must offer a phone support in order to fix problems that contact persons cannot fix themselves. </t>
  </si>
  <si>
    <t xml:space="preserve">If the tracker that the person suffering from dementia wears is poorly maintained (e.g. has an empty battery), and this is not noticed by the contact person, this might lead to no one reacting to an exceptional situation, thus leading to a false sense of safety. </t>
  </si>
  <si>
    <t xml:space="preserve">ILA must allow to perform the registration process for persons suffering from dementia in their own surroundings, e.g. by offering a tablet version of the registration UI </t>
  </si>
  <si>
    <t xml:space="preserve">ILA must contain some remote monitoring mechanism for alert buttons, in order to check if they are still functional, or will soon fail. This mechanism must be part of the platform itself. </t>
  </si>
  <si>
    <t>RQ025</t>
  </si>
  <si>
    <t>RQ024</t>
  </si>
  <si>
    <t>A contact person must learn about the whereabouts of a person suffering from dementia only in case of an exceptional situation, so she can come to help. In all other cases, there be no way for her to track the person suffering from dementia.</t>
  </si>
  <si>
    <t>Access to ILA must be protected by authentication, so that no outsider can access the data or whereabouts of a person suffering from dementia.</t>
  </si>
  <si>
    <t>RQ026</t>
  </si>
  <si>
    <t>RQ027</t>
  </si>
  <si>
    <t>Tracker ID must contain no clue on the identity of persons suffering from dementia, so that intercepting tracker signals will not allow for unauthorized outsiders to track them.</t>
  </si>
  <si>
    <t>If the ILA business model contains a free "basic" account, it must not funded by selling data of persons suffering from dementia, or contact persons, for marketing purposes.</t>
  </si>
  <si>
    <t>RQ028</t>
  </si>
  <si>
    <t xml:space="preserve">If ILA is funded by a health insurance, it must not contain any advertisements. </t>
  </si>
  <si>
    <t>RQ029</t>
  </si>
  <si>
    <t>RQ030</t>
  </si>
  <si>
    <t xml:space="preserve">ILA must contain an archiving option. When an account is unregistered, proof of proper operation (like a consent form) needs to be stored long-term for legal purposes, while the data is removed from the operational data sources. </t>
  </si>
  <si>
    <t>RQ031</t>
  </si>
  <si>
    <t xml:space="preserve">If an account of a person suffering from dementia is unregistered, any attached tracker must be added back into the pool, and not maintain any connection with that person. </t>
  </si>
  <si>
    <t>RQ032</t>
  </si>
  <si>
    <t xml:space="preserve">ILA must be able to produce a data transparency statement in easy language, informing about "what data is stored where", depending on the account role. This statement must explicitly designed in such a way that any worries about "my data is just somewhere" are properly addressed. </t>
  </si>
  <si>
    <t>RQ033</t>
  </si>
  <si>
    <t xml:space="preserve">ILA data must be stored in a cloud under control of EU GDPR laws. </t>
  </si>
  <si>
    <t>RQ034</t>
  </si>
  <si>
    <t>RQ035</t>
  </si>
  <si>
    <t>RQ036</t>
  </si>
  <si>
    <t xml:space="preserve">ILA must never disclose any data about nursing homes and their personnel (e.g. for marketing purposes or testimonials) to anyone outside, unless the nursing home, and the employees in question, explicitly agrees to this. </t>
  </si>
  <si>
    <t xml:space="preserve">ILA must never disclose any data about locations with alert buttons (e.g. for marketing purposes or testimonials) to anyone outside, unless the location owners explicitly agree to this. </t>
  </si>
  <si>
    <t>RQ037</t>
  </si>
  <si>
    <t xml:space="preserve">If a nursing home stops provinding ILA as a service, all data about the nursing home and its employees must be deleted from the operational data bases, and archived where necessary to prove proper operation. </t>
  </si>
  <si>
    <t xml:space="preserve">If a shop, medical practice etc. stops having an alert button, i.e. unregisters its account, its location and other information must be deleted from the operational data bases of ILA. The data must be archived where necessary to prove proper operation. </t>
  </si>
  <si>
    <t xml:space="preserve">When a person suffering from dementia is unregistered from ILA, all personal data (registration information, consent declarations, attached contact persons, "usual zones", historical tracker data, etc.) must be removed from the operative data bases. The data must be archived where necessary to prove proper operation. </t>
  </si>
  <si>
    <t>ILA must be able to automatically forward a distress call to an emergency call system, if none of the contact persons are available.</t>
  </si>
  <si>
    <t>RQ038</t>
  </si>
  <si>
    <t xml:space="preserve">ILA should reserve for itself the right to collect anonymous data about frequency of emergency situations. So ILA could inform a contact person if the person suffering from dementia has an unusually high frequency of exceptional situations. This might help a contact person to realize that the task becomes to hard to take, and that the person suffering from dementia should go to a nursing home. </t>
  </si>
  <si>
    <t xml:space="preserve">ILA must provide training material (e.g. videos) in easy language, explaining system and its advantages, but also the contact person's liability and the system's limitations. The documentation should recommend not to use the system if the contact person is ill or unavailable.   </t>
  </si>
  <si>
    <t>RQ039</t>
  </si>
  <si>
    <t xml:space="preserve">When a contact person is unregistered from ILA, all personal data (registration information, payment information, consent declarations, etc.) must be removed from the operative data bases. The data must be archived where necessary to prove proper operation. </t>
  </si>
  <si>
    <t>RQ040</t>
  </si>
  <si>
    <t>ILA should offer a way for several contact persons sharing responsibility to see a history of exceptional situations, and who of them came to help. This way, they an lead fairness discussions based on factual data.</t>
  </si>
  <si>
    <t>RQ041</t>
  </si>
  <si>
    <t xml:space="preserve">In case that there are multiple available contact persons, ILA should offer an easily accessible communication channel between them, so they have the option to briefly discuss who an come to help. </t>
  </si>
  <si>
    <t xml:space="preserve">In case of an exceptional situation, the contact person must be able to see the current location and a short history of recent locations of the person suffering from dementia. This way, the contact person knows where to go. </t>
  </si>
  <si>
    <t>ILA must provide an administrator role, allowing a "knowledgeable" contact person to administrate the whole system.</t>
  </si>
  <si>
    <t>applies?</t>
  </si>
  <si>
    <t>RQ042</t>
  </si>
  <si>
    <t xml:space="preserve">When location with alert button is unregistered from ILA, all information about the location, and personal data of the staff, must be removed from the operative data bases. The data must be archived where necessary to prove proper operation. </t>
  </si>
  <si>
    <t>RQ043</t>
  </si>
  <si>
    <t>ILA must not contain ANY personal information about staff of an alert button location. Operation of the button needs to be strictly anonymous.</t>
  </si>
  <si>
    <t>If ILA is implemented improperly, sensitive information about the shop / practice could be obtained illegally. This is an especially severe risk for medical practices, where information about patients is very sensitive. (Violation of "Integrity" Principle)</t>
  </si>
  <si>
    <t>RQ044</t>
  </si>
  <si>
    <t>ILA must store only "name" and "address" for locations with alert buttons, as e.g. medical practices might have sensitive personal data.</t>
  </si>
  <si>
    <t xml:space="preserve">Only in case the alert button is pressed, the contact person can earn that the person suffering from dementia currently is at that location. </t>
  </si>
  <si>
    <t>RQ045</t>
  </si>
  <si>
    <t>RQ046</t>
  </si>
  <si>
    <t>No one but the contact person must ever know that a person suffering from dementia is at the location with an alert button.</t>
  </si>
  <si>
    <t>RQ047</t>
  </si>
  <si>
    <t xml:space="preserve">ILA must provide an FAQ and clear information material for potential locations with alert buttons. This information must especially address privacy concerns. </t>
  </si>
  <si>
    <t>RQ048</t>
  </si>
  <si>
    <t>ILA must provide a standard contract for nursing homes providing ILA services, containing an indemnification clause for the nursing home in case of privacy breaches.</t>
  </si>
  <si>
    <t>RQ049</t>
  </si>
  <si>
    <t>The interface between ILA and an emergency call system must be protected by authentication, so that no outsider access is possible.</t>
  </si>
  <si>
    <t>RQ050</t>
  </si>
  <si>
    <t xml:space="preserve">The interface between ILA and an emergency call system must not contain personal information about the person suffering from dementia, or a contact person. Data exchange must be based on a technical ID. </t>
  </si>
  <si>
    <t>RQ051</t>
  </si>
  <si>
    <t xml:space="preserve">The alert button must be designed in such a way that it provides feedback about the status of the help underway. </t>
  </si>
  <si>
    <t>RQ052</t>
  </si>
  <si>
    <t xml:space="preserve">ILA should provide badges like "this shop supports the helping community" and other suitable marketing material, allowing locations to use their ILA commitment as PR. </t>
  </si>
  <si>
    <t>ILA must provide a standard contract for locations with an alert button, containing a legal indemnification clause for the location.</t>
  </si>
  <si>
    <t>ILA must provide training material (e.g. videos) in easy language, explaining the alert button user's liability, the system's limitations, and how to adminstrate it.</t>
  </si>
  <si>
    <t>Registration as an alert button location must not cause any additional costs for the location. The alert buttons must be provided for free.</t>
  </si>
  <si>
    <t>RQ053</t>
  </si>
  <si>
    <t>RQ054</t>
  </si>
  <si>
    <t xml:space="preserve">A properly working ILA will allow the acting persons in nursing home management to provide "care" in the pure sense of the word, giving persons suffering from dementia more autononomy, and having to restrain their movements less frequently. </t>
  </si>
  <si>
    <t>RQ055</t>
  </si>
  <si>
    <t xml:space="preserve">ILA must provide a nursing home business model with a trial period, allowing a nursing home to build trust in the system. </t>
  </si>
  <si>
    <t>RQ056</t>
  </si>
  <si>
    <t>ILA should provide marketing material and certifications / badges for nursing homes offering ILA, enabling the nursing home to use this as a marketing tool.</t>
  </si>
  <si>
    <t>RQ057</t>
  </si>
  <si>
    <t>The health insurance must come up with a simple and clear set of criteria about entitlement for ILA.</t>
  </si>
  <si>
    <t>RQ058</t>
  </si>
  <si>
    <t>The ILA startup should seek collaboration with health insurance organisations, to evaluate ILA. This way, the health insurance an use this as a marketing story.</t>
  </si>
  <si>
    <t>RQ059</t>
  </si>
  <si>
    <t>Evaluation of ILA should be conducted with focus on persons suffering from dementia who still live in their own home.</t>
  </si>
  <si>
    <t>RQ060</t>
  </si>
  <si>
    <t>ILA must provide a standard contract for health insurances, containing a legal indemnification clause.</t>
  </si>
  <si>
    <t>RQ061</t>
  </si>
  <si>
    <t>RQ062</t>
  </si>
  <si>
    <t>ILA should provide an architecture blueprint for a connectivity solution to any emergency call service</t>
  </si>
  <si>
    <t>ILA should provide a business case blueprint that managers in an emergency call service can use to justify the investment in their own business model and infrastructure.</t>
  </si>
  <si>
    <t>RQ063</t>
  </si>
  <si>
    <t xml:space="preserve">ILA must provide a standard service contract that limits legal product liability claims. </t>
  </si>
  <si>
    <t>RQ064</t>
  </si>
  <si>
    <t>ILA should provide marketing material to emergency call operators that they can use to market "package deals" with ILA.</t>
  </si>
  <si>
    <t>RQ065</t>
  </si>
  <si>
    <t>RQ066</t>
  </si>
  <si>
    <t>ILA should directly target nursing homes as ILA operators.</t>
  </si>
  <si>
    <t>RQ067</t>
  </si>
  <si>
    <t>ILA should target health insurances to add ILA to their catalogue.</t>
  </si>
  <si>
    <t>RQ068</t>
  </si>
  <si>
    <t>ILA should address "indirect sales" through nursing homes, e.g. by giving nursing homes an incentive if they inform relatives of their patients about ILA.</t>
  </si>
  <si>
    <t xml:space="preserve">ILA should target relatives of persons suffering from dementia directly, offering a trial. </t>
  </si>
  <si>
    <t>Goals per Stakeholder</t>
  </si>
  <si>
    <t>Risks per Stakeholder</t>
  </si>
  <si>
    <t>Goals per Dimension</t>
  </si>
  <si>
    <t>Risks per Dimension</t>
  </si>
  <si>
    <t>R13</t>
  </si>
  <si>
    <t>G14</t>
  </si>
  <si>
    <t>R15</t>
  </si>
  <si>
    <t>R16</t>
  </si>
  <si>
    <t>R17</t>
  </si>
  <si>
    <t>R18</t>
  </si>
  <si>
    <t>R19</t>
  </si>
  <si>
    <t>R20</t>
  </si>
  <si>
    <t>R21</t>
  </si>
  <si>
    <t>R22</t>
  </si>
  <si>
    <t>R23</t>
  </si>
  <si>
    <t>G24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</si>
</sst>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numFmt numFmtId="165" formatCode="\+0;\-0;&quot;&quot;"/>
  </numFmts>
  <fonts count="26" x14ac:knownFonts="1">
    <font>
      <sz val="11"/>
      <color theme="1"/>
      <name val="Calibri"/>
      <family val="2"/>
      <scheme val="minor"/>
    </font>
    <font>
      <b/>
      <sz val="11"/>
      <color theme="1"/>
      <name val="Calibri"/>
      <family val="2"/>
      <scheme val="minor"/>
    </font>
    <font>
      <sz val="8"/>
      <color theme="1"/>
      <name val="Calibri"/>
      <family val="2"/>
      <scheme val="minor"/>
    </font>
    <font>
      <sz val="11"/>
      <color theme="0"/>
      <name val="Calibri"/>
      <family val="2"/>
      <scheme val="minor"/>
    </font>
    <font>
      <sz val="9"/>
      <color indexed="81"/>
      <name val="Segoe UI"/>
      <family val="2"/>
    </font>
    <font>
      <b/>
      <sz val="9"/>
      <color indexed="81"/>
      <name val="Segoe UI"/>
      <family val="2"/>
    </font>
    <font>
      <b/>
      <sz val="14"/>
      <color theme="8"/>
      <name val="Calibri"/>
      <family val="2"/>
      <scheme val="minor"/>
    </font>
    <font>
      <sz val="11"/>
      <color theme="0" tint="-0.14999847407452621"/>
      <name val="Calibri"/>
      <family val="2"/>
      <scheme val="minor"/>
    </font>
    <font>
      <sz val="11"/>
      <color rgb="FF000000"/>
      <name val="Calibri"/>
      <family val="2"/>
    </font>
    <font>
      <sz val="9"/>
      <color theme="1"/>
      <name val="Calibri"/>
      <family val="2"/>
      <scheme val="minor"/>
    </font>
    <font>
      <b/>
      <sz val="12"/>
      <color theme="1"/>
      <name val="Calibri"/>
      <family val="2"/>
      <scheme val="minor"/>
    </font>
    <font>
      <i/>
      <sz val="11"/>
      <color theme="1"/>
      <name val="Calibri"/>
      <family val="2"/>
      <scheme val="minor"/>
    </font>
    <font>
      <sz val="6"/>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8"/>
      <name val="Calibri"/>
      <family val="2"/>
      <scheme val="minor"/>
    </font>
    <font>
      <sz val="9"/>
      <name val="Calibri"/>
      <family val="2"/>
      <scheme val="minor"/>
    </font>
    <font>
      <u/>
      <sz val="11"/>
      <color theme="1"/>
      <name val="Calibri"/>
      <family val="2"/>
      <scheme val="minor"/>
    </font>
    <font>
      <b/>
      <sz val="11"/>
      <color theme="4"/>
      <name val="Calibri"/>
      <family val="2"/>
      <scheme val="minor"/>
    </font>
    <font>
      <sz val="16"/>
      <color theme="1"/>
      <name val="Calibri"/>
      <family val="2"/>
      <scheme val="minor"/>
    </font>
    <font>
      <b/>
      <sz val="16"/>
      <color theme="1"/>
      <name val="Calibri"/>
      <family val="2"/>
      <scheme val="minor"/>
    </font>
    <font>
      <b/>
      <sz val="10"/>
      <name val="Calibri"/>
      <family val="2"/>
      <scheme val="minor"/>
    </font>
    <font>
      <u/>
      <sz val="11"/>
      <color theme="10"/>
      <name val="Calibri"/>
      <family val="2"/>
      <scheme val="minor"/>
    </font>
    <font>
      <sz val="8"/>
      <color rgb="FF000000"/>
      <name val="Calibri"/>
      <family val="2"/>
    </font>
    <font>
      <b/>
      <sz val="9"/>
      <color theme="1"/>
      <name val="Calibri"/>
      <family val="2"/>
      <scheme val="minor"/>
    </font>
  </fonts>
  <fills count="15">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rgb="FFFFFFCC"/>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0"/>
        <bgColor indexed="64"/>
      </patternFill>
    </fill>
    <fill>
      <patternFill patternType="solid">
        <fgColor rgb="FFFBB3B5"/>
        <bgColor indexed="64"/>
      </patternFill>
    </fill>
    <fill>
      <patternFill patternType="solid">
        <fgColor rgb="FFFFFFFF"/>
        <bgColor indexed="64"/>
      </patternFill>
    </fill>
    <fill>
      <patternFill patternType="solid">
        <fgColor rgb="FFFFFF00"/>
        <bgColor indexed="64"/>
      </patternFill>
    </fill>
    <fill>
      <patternFill patternType="solid">
        <fgColor rgb="FFBBE3C5"/>
        <bgColor indexed="64"/>
      </patternFill>
    </fill>
    <fill>
      <patternFill patternType="solid">
        <fgColor rgb="FFF8696B"/>
        <bgColor indexed="64"/>
      </patternFill>
    </fill>
  </fills>
  <borders count="36">
    <border>
      <left/>
      <right/>
      <top/>
      <bottom/>
      <diagonal/>
    </border>
    <border>
      <left style="thin">
        <color indexed="64"/>
      </left>
      <right/>
      <top/>
      <bottom/>
      <diagonal/>
    </border>
    <border>
      <left/>
      <right/>
      <top/>
      <bottom style="double">
        <color indexed="64"/>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style="double">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bottom style="medium">
        <color indexed="64"/>
      </bottom>
      <diagonal/>
    </border>
    <border>
      <left/>
      <right/>
      <top style="thin">
        <color indexed="64"/>
      </top>
      <bottom/>
      <diagonal/>
    </border>
    <border>
      <left/>
      <right/>
      <top style="double">
        <color indexed="64"/>
      </top>
      <bottom/>
      <diagonal/>
    </border>
    <border>
      <left/>
      <right style="medium">
        <color indexed="64"/>
      </right>
      <top/>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bottom style="double">
        <color indexed="8"/>
      </bottom>
      <diagonal/>
    </border>
    <border>
      <left style="thick">
        <color rgb="FFFBB3B5"/>
      </left>
      <right style="thick">
        <color rgb="FFFBB3B5"/>
      </right>
      <top style="thick">
        <color rgb="FFFBB3B5"/>
      </top>
      <bottom style="thick">
        <color rgb="FFFBB3B5"/>
      </bottom>
      <diagonal/>
    </border>
    <border>
      <left style="thick">
        <color rgb="FFBBE3C5"/>
      </left>
      <right style="thick">
        <color rgb="FFBBE3C5"/>
      </right>
      <top style="thick">
        <color rgb="FFBBE3C5"/>
      </top>
      <bottom style="thick">
        <color rgb="FFBBE3C5"/>
      </bottom>
      <diagonal/>
    </border>
    <border>
      <left style="thick">
        <color rgb="FFF8696B"/>
      </left>
      <right style="thick">
        <color rgb="FFF8696B"/>
      </right>
      <top style="thick">
        <color rgb="FFF8696B"/>
      </top>
      <bottom style="thick">
        <color rgb="FFF8696B"/>
      </bottom>
      <diagonal/>
    </border>
    <border>
      <left style="thick">
        <color rgb="FFF8696B"/>
      </left>
      <right/>
      <top style="double">
        <color indexed="8"/>
      </top>
      <bottom style="thick">
        <color rgb="FFF8696B"/>
      </bottom>
      <diagonal/>
    </border>
    <border>
      <left style="thick">
        <color rgb="FFF8696B"/>
      </left>
      <right style="thick">
        <color rgb="FFBBE3C5"/>
      </right>
      <top style="double">
        <color indexed="8"/>
      </top>
      <bottom style="thick">
        <color rgb="FFBBE3C5"/>
      </bottom>
      <diagonal/>
    </border>
    <border>
      <left style="thick">
        <color rgb="FFF8696B"/>
      </left>
      <right/>
      <top style="double">
        <color indexed="8"/>
      </top>
      <bottom style="thick">
        <color rgb="FFFBB3B5"/>
      </bottom>
      <diagonal/>
    </border>
    <border>
      <left style="thick">
        <color rgb="FFFBB3B5"/>
      </left>
      <right/>
      <top style="double">
        <color indexed="8"/>
      </top>
      <bottom style="thick">
        <color rgb="FFFBB3B5"/>
      </bottom>
      <diagonal/>
    </border>
    <border>
      <left style="thick">
        <color rgb="FFFBB3B5"/>
      </left>
      <right style="thick">
        <color rgb="FFBBE3C5"/>
      </right>
      <top style="double">
        <color indexed="8"/>
      </top>
      <bottom style="thick">
        <color rgb="FFBBE3C5"/>
      </bottom>
      <diagonal/>
    </border>
  </borders>
  <cellStyleXfs count="2">
    <xf numFmtId="0" fontId="0" fillId="0" borderId="0"/>
    <xf numFmtId="0" fontId="23" fillId="0" borderId="0" applyNumberFormat="0" applyFill="0" applyBorder="0" applyAlignment="0" applyProtection="0"/>
  </cellStyleXfs>
  <cellXfs count="166">
    <xf numFmtId="0" fontId="0" fillId="0" borderId="0" xfId="0"/>
    <xf numFmtId="0" fontId="0" fillId="0" borderId="0" xfId="0" applyAlignment="1">
      <alignment vertical="center" wrapText="1"/>
    </xf>
    <xf numFmtId="0" fontId="1" fillId="0" borderId="2" xfId="0" applyFont="1" applyBorder="1" applyAlignment="1">
      <alignment vertical="center" wrapText="1"/>
    </xf>
    <xf numFmtId="0" fontId="0" fillId="0" borderId="0" xfId="0" applyBorder="1" applyAlignment="1">
      <alignment horizontal="center" vertical="center" wrapText="1"/>
    </xf>
    <xf numFmtId="0" fontId="3" fillId="0" borderId="0" xfId="0" applyFont="1"/>
    <xf numFmtId="0" fontId="0" fillId="0" borderId="0" xfId="0" applyNumberFormat="1" applyAlignment="1">
      <alignment vertical="center" wrapText="1"/>
    </xf>
    <xf numFmtId="0"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Font="1" applyAlignment="1">
      <alignment vertical="center" wrapText="1"/>
    </xf>
    <xf numFmtId="0" fontId="1" fillId="0" borderId="4" xfId="0" applyFont="1" applyBorder="1" applyAlignment="1">
      <alignment vertical="center" wrapText="1"/>
    </xf>
    <xf numFmtId="164" fontId="0" fillId="0" borderId="0" xfId="0" applyNumberFormat="1" applyAlignment="1">
      <alignment horizontal="center" vertical="center" wrapText="1"/>
    </xf>
    <xf numFmtId="0" fontId="0" fillId="0" borderId="0" xfId="0" applyFill="1" applyAlignment="1">
      <alignment vertical="center" wrapText="1"/>
    </xf>
    <xf numFmtId="0" fontId="0" fillId="0" borderId="0" xfId="0" applyFont="1" applyFill="1" applyAlignment="1">
      <alignment vertical="center" wrapText="1"/>
    </xf>
    <xf numFmtId="0" fontId="2" fillId="0" borderId="0" xfId="0" applyFont="1" applyBorder="1" applyAlignment="1">
      <alignment vertical="center" wrapText="1"/>
    </xf>
    <xf numFmtId="0" fontId="0" fillId="0" borderId="0" xfId="0" applyAlignment="1">
      <alignment vertical="center"/>
    </xf>
    <xf numFmtId="0" fontId="1" fillId="0" borderId="2" xfId="0" applyFont="1" applyBorder="1" applyAlignment="1">
      <alignment horizontal="center" vertical="center" wrapText="1"/>
    </xf>
    <xf numFmtId="0" fontId="0" fillId="5" borderId="0" xfId="0" applyFill="1" applyAlignment="1">
      <alignment vertical="center"/>
    </xf>
    <xf numFmtId="0" fontId="1" fillId="5" borderId="0" xfId="0" applyFont="1" applyFill="1" applyAlignment="1">
      <alignment vertical="center"/>
    </xf>
    <xf numFmtId="0" fontId="0" fillId="5" borderId="0" xfId="0" applyFill="1"/>
    <xf numFmtId="0" fontId="0" fillId="0" borderId="0" xfId="0" applyAlignment="1" applyProtection="1">
      <alignment vertical="center" wrapText="1"/>
      <protection locked="0"/>
    </xf>
    <xf numFmtId="0" fontId="1" fillId="0" borderId="0" xfId="0" applyFont="1" applyFill="1" applyAlignment="1">
      <alignment vertical="center" wrapText="1"/>
    </xf>
    <xf numFmtId="0" fontId="1" fillId="0" borderId="0" xfId="0" applyFont="1" applyAlignment="1">
      <alignment vertical="center" wrapText="1"/>
    </xf>
    <xf numFmtId="0" fontId="1" fillId="0" borderId="0" xfId="0" applyFont="1" applyAlignment="1">
      <alignment horizontal="center" vertical="center" wrapText="1"/>
    </xf>
    <xf numFmtId="0" fontId="0" fillId="0" borderId="0" xfId="0" applyNumberFormat="1" applyFont="1" applyAlignment="1">
      <alignment vertical="center" wrapText="1"/>
    </xf>
    <xf numFmtId="0" fontId="0" fillId="0" borderId="0" xfId="0" quotePrefix="1" applyNumberFormat="1" applyFont="1" applyAlignment="1">
      <alignment vertical="center" wrapText="1"/>
    </xf>
    <xf numFmtId="164" fontId="10" fillId="0" borderId="0" xfId="0" applyNumberFormat="1" applyFont="1" applyAlignment="1">
      <alignment horizontal="center" vertical="center" wrapText="1"/>
    </xf>
    <xf numFmtId="0" fontId="0" fillId="0" borderId="0" xfId="0" applyFill="1" applyBorder="1" applyAlignment="1">
      <alignment horizontal="center" vertical="center" wrapText="1"/>
    </xf>
    <xf numFmtId="0" fontId="3" fillId="0" borderId="0" xfId="0" applyFont="1" applyAlignment="1">
      <alignment vertical="center" wrapText="1"/>
    </xf>
    <xf numFmtId="0" fontId="0" fillId="0" borderId="10" xfId="0" applyBorder="1"/>
    <xf numFmtId="0" fontId="11" fillId="5" borderId="0" xfId="0" applyFont="1" applyFill="1" applyBorder="1" applyAlignment="1">
      <alignment horizontal="right" vertical="center" wrapText="1"/>
    </xf>
    <xf numFmtId="0" fontId="11" fillId="5" borderId="0" xfId="0" applyFont="1" applyFill="1" applyAlignment="1">
      <alignment vertical="center" wrapText="1"/>
    </xf>
    <xf numFmtId="0" fontId="6" fillId="0" borderId="1" xfId="0" applyFont="1" applyBorder="1" applyAlignment="1">
      <alignment horizontal="center" vertical="center" wrapText="1"/>
    </xf>
    <xf numFmtId="0" fontId="1" fillId="0" borderId="0" xfId="0" applyFont="1" applyAlignment="1">
      <alignment horizontal="right" vertical="center" wrapText="1"/>
    </xf>
    <xf numFmtId="0" fontId="0" fillId="0" borderId="0" xfId="0" applyFill="1" applyAlignment="1">
      <alignment horizontal="center" vertical="center" wrapText="1"/>
    </xf>
    <xf numFmtId="0" fontId="3" fillId="7" borderId="0" xfId="0" applyFont="1" applyFill="1" applyAlignment="1">
      <alignment vertical="center" wrapText="1"/>
    </xf>
    <xf numFmtId="0" fontId="3" fillId="7" borderId="0" xfId="0" applyFont="1" applyFill="1" applyAlignment="1">
      <alignment horizontal="center" vertical="center" wrapText="1"/>
    </xf>
    <xf numFmtId="0" fontId="13" fillId="7" borderId="0" xfId="0" applyFont="1" applyFill="1" applyAlignment="1">
      <alignment horizontal="center" vertical="center" wrapText="1"/>
    </xf>
    <xf numFmtId="0" fontId="13" fillId="7" borderId="0" xfId="0" applyFont="1" applyFill="1" applyAlignment="1">
      <alignment wrapText="1"/>
    </xf>
    <xf numFmtId="0" fontId="13" fillId="7" borderId="0" xfId="0" applyFont="1" applyFill="1" applyAlignment="1">
      <alignment horizont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13" fillId="7" borderId="2" xfId="0" applyNumberFormat="1" applyFont="1" applyFill="1" applyBorder="1" applyAlignment="1">
      <alignment horizontal="center" vertical="center" wrapText="1"/>
    </xf>
    <xf numFmtId="0" fontId="13" fillId="7" borderId="3" xfId="0" applyNumberFormat="1" applyFont="1" applyFill="1" applyBorder="1" applyAlignment="1">
      <alignment vertical="center" wrapText="1"/>
    </xf>
    <xf numFmtId="0" fontId="13" fillId="7" borderId="2" xfId="0" applyNumberFormat="1" applyFont="1" applyFill="1" applyBorder="1" applyAlignment="1">
      <alignment vertical="center" wrapText="1"/>
    </xf>
    <xf numFmtId="0" fontId="13" fillId="7" borderId="2" xfId="0" applyFont="1" applyFill="1" applyBorder="1" applyAlignment="1">
      <alignment vertical="top" wrapText="1"/>
    </xf>
    <xf numFmtId="0" fontId="13" fillId="7" borderId="2" xfId="0" applyFont="1" applyFill="1" applyBorder="1" applyAlignment="1">
      <alignment horizontal="center" vertical="top" wrapText="1"/>
    </xf>
    <xf numFmtId="0" fontId="1" fillId="2" borderId="0" xfId="0" applyFont="1" applyFill="1" applyBorder="1" applyAlignment="1">
      <alignment vertical="center" wrapText="1"/>
    </xf>
    <xf numFmtId="0" fontId="1" fillId="3" borderId="0" xfId="0" applyFont="1" applyFill="1" applyBorder="1" applyAlignment="1">
      <alignment vertical="center" wrapText="1"/>
    </xf>
    <xf numFmtId="0" fontId="13" fillId="7" borderId="0" xfId="0" applyFont="1" applyFill="1" applyAlignment="1">
      <alignment vertical="center" wrapText="1"/>
    </xf>
    <xf numFmtId="0" fontId="0" fillId="9" borderId="0" xfId="0" applyFill="1" applyAlignment="1">
      <alignment horizontal="center" vertical="center" wrapText="1"/>
    </xf>
    <xf numFmtId="0" fontId="0" fillId="9" borderId="0" xfId="0" applyFill="1" applyAlignment="1">
      <alignment vertical="center" wrapText="1"/>
    </xf>
    <xf numFmtId="0" fontId="0" fillId="9" borderId="0" xfId="0" applyFill="1" applyAlignment="1">
      <alignment vertical="center"/>
    </xf>
    <xf numFmtId="0" fontId="0" fillId="9" borderId="0" xfId="0" applyFill="1" applyAlignment="1">
      <alignment horizontal="center" vertical="center"/>
    </xf>
    <xf numFmtId="0" fontId="7" fillId="9" borderId="0" xfId="0" applyFont="1" applyFill="1" applyAlignment="1">
      <alignment horizontal="center" vertical="center"/>
    </xf>
    <xf numFmtId="0" fontId="12" fillId="9" borderId="0" xfId="0" applyFont="1" applyFill="1" applyAlignment="1">
      <alignment horizontal="center" vertical="center"/>
    </xf>
    <xf numFmtId="0" fontId="6" fillId="0" borderId="1" xfId="0" applyFont="1" applyBorder="1" applyAlignment="1">
      <alignment vertical="center" wrapText="1"/>
    </xf>
    <xf numFmtId="0" fontId="6" fillId="0" borderId="0" xfId="0" applyFont="1" applyBorder="1" applyAlignment="1">
      <alignment vertical="center" wrapText="1"/>
    </xf>
    <xf numFmtId="0" fontId="15" fillId="5" borderId="0" xfId="0" applyFont="1" applyFill="1" applyAlignment="1">
      <alignment vertical="center"/>
    </xf>
    <xf numFmtId="0" fontId="15" fillId="5" borderId="0" xfId="0" applyFont="1" applyFill="1" applyBorder="1" applyAlignment="1">
      <alignment horizontal="center" vertical="center" wrapText="1"/>
    </xf>
    <xf numFmtId="0" fontId="16" fillId="5" borderId="0" xfId="0" applyFont="1" applyFill="1" applyBorder="1" applyAlignment="1">
      <alignment vertical="center" wrapText="1"/>
    </xf>
    <xf numFmtId="0" fontId="15" fillId="5" borderId="0" xfId="0" applyFont="1" applyFill="1" applyAlignment="1">
      <alignment vertical="center" wrapText="1"/>
    </xf>
    <xf numFmtId="0" fontId="14" fillId="5" borderId="0" xfId="0" applyFont="1" applyFill="1" applyAlignment="1">
      <alignment horizontal="right" vertical="center"/>
    </xf>
    <xf numFmtId="0" fontId="15" fillId="5" borderId="0" xfId="0" applyFont="1" applyFill="1" applyBorder="1" applyAlignment="1">
      <alignment horizontal="left" vertical="center" wrapText="1"/>
    </xf>
    <xf numFmtId="0" fontId="13" fillId="7" borderId="2" xfId="0" applyNumberFormat="1" applyFont="1" applyFill="1" applyBorder="1" applyAlignment="1">
      <alignment horizontal="center" wrapText="1"/>
    </xf>
    <xf numFmtId="0" fontId="0" fillId="0" borderId="0" xfId="0" applyAlignment="1"/>
    <xf numFmtId="0" fontId="1" fillId="0" borderId="11" xfId="0" applyFont="1" applyBorder="1" applyAlignment="1">
      <alignment wrapText="1"/>
    </xf>
    <xf numFmtId="0" fontId="0" fillId="0" borderId="0" xfId="0" applyAlignment="1">
      <alignment horizontal="center"/>
    </xf>
    <xf numFmtId="0" fontId="0" fillId="0" borderId="11" xfId="0" applyBorder="1" applyAlignment="1">
      <alignment horizontal="center"/>
    </xf>
    <xf numFmtId="0" fontId="0" fillId="0" borderId="11" xfId="0" applyBorder="1" applyAlignment="1"/>
    <xf numFmtId="0" fontId="3" fillId="0" borderId="0" xfId="0" applyFont="1" applyAlignment="1">
      <alignment horizontal="center" wrapText="1"/>
    </xf>
    <xf numFmtId="0" fontId="0" fillId="0" borderId="0" xfId="0" applyAlignment="1">
      <alignment horizontal="center" wrapText="1"/>
    </xf>
    <xf numFmtId="0" fontId="0" fillId="0" borderId="0" xfId="0" applyFill="1" applyAlignment="1"/>
    <xf numFmtId="0" fontId="0" fillId="5" borderId="0" xfId="0" applyFill="1" applyBorder="1" applyAlignment="1">
      <alignment horizontal="center" vertical="center" wrapText="1"/>
    </xf>
    <xf numFmtId="0" fontId="9" fillId="0" borderId="0" xfId="0" applyFont="1" applyAlignment="1">
      <alignment vertical="center" wrapText="1"/>
    </xf>
    <xf numFmtId="0" fontId="9" fillId="0" borderId="0" xfId="0" applyFont="1" applyAlignment="1" applyProtection="1">
      <alignment vertical="center" wrapText="1"/>
      <protection locked="0"/>
    </xf>
    <xf numFmtId="0" fontId="1" fillId="0" borderId="12" xfId="0" applyFont="1" applyBorder="1" applyAlignment="1">
      <alignment wrapText="1"/>
    </xf>
    <xf numFmtId="0" fontId="1" fillId="0" borderId="9" xfId="0" applyFont="1" applyBorder="1" applyAlignment="1">
      <alignment wrapText="1"/>
    </xf>
    <xf numFmtId="0" fontId="14" fillId="5" borderId="0" xfId="0" applyFont="1" applyFill="1" applyAlignment="1">
      <alignment horizontal="right" vertical="center"/>
    </xf>
    <xf numFmtId="0" fontId="1" fillId="0" borderId="0" xfId="0" applyFont="1"/>
    <xf numFmtId="0" fontId="1" fillId="0" borderId="0" xfId="0" applyFont="1" applyAlignment="1">
      <alignment horizontal="center"/>
    </xf>
    <xf numFmtId="0" fontId="1" fillId="0" borderId="1" xfId="0" applyFont="1" applyBorder="1" applyAlignment="1">
      <alignment horizontal="center"/>
    </xf>
    <xf numFmtId="0" fontId="0" fillId="0" borderId="1" xfId="0" applyBorder="1" applyAlignment="1">
      <alignment horizontal="center"/>
    </xf>
    <xf numFmtId="0" fontId="0" fillId="12" borderId="0" xfId="0" applyFill="1"/>
    <xf numFmtId="0" fontId="0" fillId="0" borderId="0" xfId="0" applyAlignment="1">
      <alignment wrapText="1"/>
    </xf>
    <xf numFmtId="0" fontId="1" fillId="5" borderId="0" xfId="0" applyFont="1" applyFill="1" applyAlignment="1">
      <alignment wrapText="1"/>
    </xf>
    <xf numFmtId="0" fontId="18" fillId="0" borderId="0" xfId="0" applyFont="1" applyAlignment="1">
      <alignment wrapText="1"/>
    </xf>
    <xf numFmtId="0" fontId="19" fillId="0" borderId="0" xfId="0" applyFont="1" applyAlignment="1">
      <alignment horizontal="center" vertical="center" wrapText="1"/>
    </xf>
    <xf numFmtId="0" fontId="14" fillId="0" borderId="0" xfId="0" applyFont="1" applyAlignment="1">
      <alignment horizontal="center" vertical="center" wrapText="1"/>
    </xf>
    <xf numFmtId="0" fontId="1" fillId="5" borderId="0" xfId="0" applyFont="1" applyFill="1" applyAlignment="1">
      <alignment horizontal="center" vertical="center" wrapText="1"/>
    </xf>
    <xf numFmtId="0" fontId="14" fillId="5" borderId="0" xfId="0" applyFont="1" applyFill="1" applyAlignment="1">
      <alignment horizontal="right" vertical="center"/>
    </xf>
    <xf numFmtId="0" fontId="1" fillId="0" borderId="2" xfId="0" applyFont="1" applyBorder="1" applyAlignment="1">
      <alignment horizontal="center" vertical="top" wrapText="1"/>
    </xf>
    <xf numFmtId="0" fontId="14" fillId="5" borderId="0" xfId="0" applyFont="1" applyFill="1" applyAlignment="1">
      <alignment horizontal="right" vertical="center"/>
    </xf>
    <xf numFmtId="0" fontId="1" fillId="0" borderId="0" xfId="0" applyFont="1" applyAlignment="1">
      <alignment horizontal="center" vertical="center" wrapText="1"/>
    </xf>
    <xf numFmtId="0" fontId="1" fillId="0" borderId="14" xfId="0" applyFont="1" applyBorder="1" applyAlignment="1">
      <alignment vertical="center" wrapText="1"/>
    </xf>
    <xf numFmtId="0" fontId="20" fillId="0" borderId="14" xfId="0" applyFont="1" applyBorder="1" applyAlignment="1">
      <alignment horizontal="center" vertical="center" wrapText="1"/>
    </xf>
    <xf numFmtId="0" fontId="0" fillId="0" borderId="14" xfId="0" applyBorder="1" applyAlignment="1">
      <alignment horizontal="center" vertical="center" wrapText="1"/>
    </xf>
    <xf numFmtId="165" fontId="21" fillId="0" borderId="15" xfId="0" applyNumberFormat="1" applyFont="1" applyBorder="1" applyAlignment="1">
      <alignment horizontal="center" vertical="center" wrapText="1"/>
    </xf>
    <xf numFmtId="165" fontId="21" fillId="0" borderId="14" xfId="0" applyNumberFormat="1" applyFont="1" applyBorder="1" applyAlignment="1">
      <alignment horizontal="center" vertical="center" wrapText="1"/>
    </xf>
    <xf numFmtId="0" fontId="1" fillId="0" borderId="16" xfId="0" applyFont="1" applyBorder="1" applyAlignment="1">
      <alignment vertical="center" wrapText="1"/>
    </xf>
    <xf numFmtId="0" fontId="20" fillId="0" borderId="16" xfId="0" applyFont="1" applyBorder="1" applyAlignment="1">
      <alignment horizontal="center" vertical="center" wrapText="1"/>
    </xf>
    <xf numFmtId="0" fontId="0" fillId="0" borderId="16" xfId="0" applyBorder="1" applyAlignment="1">
      <alignment horizontal="center" vertical="center" wrapText="1"/>
    </xf>
    <xf numFmtId="165" fontId="21" fillId="0" borderId="17" xfId="0" applyNumberFormat="1" applyFont="1" applyBorder="1" applyAlignment="1">
      <alignment horizontal="center" vertical="center" wrapText="1"/>
    </xf>
    <xf numFmtId="165" fontId="21" fillId="0" borderId="16" xfId="0" applyNumberFormat="1" applyFont="1" applyBorder="1" applyAlignment="1">
      <alignment horizontal="center" vertical="center" wrapText="1"/>
    </xf>
    <xf numFmtId="0" fontId="1" fillId="0" borderId="11" xfId="0" applyFont="1" applyBorder="1" applyAlignment="1">
      <alignment vertical="center" wrapText="1"/>
    </xf>
    <xf numFmtId="0" fontId="20" fillId="0" borderId="11" xfId="0" applyFont="1" applyBorder="1" applyAlignment="1">
      <alignment horizontal="center" vertical="center" wrapText="1"/>
    </xf>
    <xf numFmtId="0" fontId="0" fillId="0" borderId="11" xfId="0" applyBorder="1" applyAlignment="1">
      <alignment horizontal="center" vertical="center" wrapText="1"/>
    </xf>
    <xf numFmtId="165" fontId="21" fillId="0" borderId="18" xfId="0" applyNumberFormat="1" applyFont="1" applyBorder="1" applyAlignment="1">
      <alignment horizontal="center" vertical="center" wrapText="1"/>
    </xf>
    <xf numFmtId="165" fontId="21" fillId="0" borderId="11" xfId="0" applyNumberFormat="1" applyFont="1" applyBorder="1" applyAlignment="1">
      <alignment horizontal="center" vertical="center" wrapText="1"/>
    </xf>
    <xf numFmtId="0" fontId="13" fillId="7" borderId="0" xfId="0" applyNumberFormat="1" applyFont="1" applyFill="1" applyBorder="1" applyAlignment="1">
      <alignment horizontal="center" wrapText="1"/>
    </xf>
    <xf numFmtId="0" fontId="1" fillId="0" borderId="11" xfId="0" applyFont="1" applyBorder="1" applyAlignment="1">
      <alignment vertical="top" wrapText="1"/>
    </xf>
    <xf numFmtId="0" fontId="1" fillId="0" borderId="9" xfId="0" applyFont="1" applyBorder="1" applyAlignment="1">
      <alignment vertical="top" wrapText="1"/>
    </xf>
    <xf numFmtId="0" fontId="0" fillId="0" borderId="23" xfId="0" applyBorder="1" applyAlignment="1">
      <alignment vertical="center" wrapText="1"/>
    </xf>
    <xf numFmtId="0" fontId="0" fillId="0" borderId="10" xfId="0" applyBorder="1" applyAlignment="1">
      <alignment vertical="center" wrapText="1"/>
    </xf>
    <xf numFmtId="0" fontId="0" fillId="0" borderId="24" xfId="0" applyBorder="1" applyAlignment="1">
      <alignment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1" fillId="5" borderId="0" xfId="0" applyFont="1" applyFill="1" applyAlignment="1">
      <alignment horizontal="center" vertical="center"/>
    </xf>
    <xf numFmtId="0" fontId="0" fillId="5" borderId="0" xfId="0" applyFill="1" applyAlignment="1">
      <alignment horizontal="center" vertical="center"/>
    </xf>
    <xf numFmtId="0" fontId="25" fillId="0" borderId="2" xfId="0" applyFont="1" applyBorder="1" applyAlignment="1">
      <alignment horizontal="center" vertical="top" wrapText="1"/>
    </xf>
    <xf numFmtId="0" fontId="9"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1" fillId="0" borderId="0" xfId="0" applyFont="1" applyAlignment="1">
      <alignment wrapText="1"/>
    </xf>
    <xf numFmtId="0" fontId="1" fillId="10" borderId="2" xfId="0" applyFont="1" applyFill="1" applyBorder="1" applyAlignment="1">
      <alignment horizontal="center" vertical="center"/>
    </xf>
    <xf numFmtId="0" fontId="1" fillId="10" borderId="27" xfId="0" applyFont="1" applyFill="1" applyBorder="1" applyAlignment="1">
      <alignment horizontal="center" vertical="center"/>
    </xf>
    <xf numFmtId="0" fontId="0" fillId="10" borderId="28" xfId="0" applyFill="1" applyBorder="1" applyAlignment="1">
      <alignment horizontal="center" vertical="center"/>
    </xf>
    <xf numFmtId="0" fontId="1" fillId="10" borderId="0" xfId="0" applyFont="1" applyFill="1" applyBorder="1" applyAlignment="1">
      <alignment horizontal="center" vertical="center"/>
    </xf>
    <xf numFmtId="0" fontId="0" fillId="11" borderId="28" xfId="0" applyFill="1" applyBorder="1" applyAlignment="1">
      <alignment horizontal="center" vertical="center"/>
    </xf>
    <xf numFmtId="0" fontId="1" fillId="13" borderId="0" xfId="0" applyFont="1" applyFill="1" applyBorder="1" applyAlignment="1">
      <alignment horizontal="center" vertical="center"/>
    </xf>
    <xf numFmtId="0" fontId="0" fillId="13" borderId="29" xfId="0" applyFill="1" applyBorder="1" applyAlignment="1">
      <alignment horizontal="center" vertical="center"/>
    </xf>
    <xf numFmtId="0" fontId="14" fillId="5" borderId="0" xfId="0" applyFont="1" applyFill="1" applyAlignment="1">
      <alignment horizontal="right" vertical="center"/>
    </xf>
    <xf numFmtId="0" fontId="16" fillId="4" borderId="6" xfId="0" applyFont="1" applyFill="1" applyBorder="1" applyAlignment="1">
      <alignment horizontal="left" vertical="center" wrapText="1"/>
    </xf>
    <xf numFmtId="0" fontId="16" fillId="4" borderId="8" xfId="0" applyFont="1" applyFill="1" applyBorder="1" applyAlignment="1">
      <alignment horizontal="left" vertical="center" wrapText="1"/>
    </xf>
    <xf numFmtId="0" fontId="17" fillId="4" borderId="6" xfId="0" applyFont="1" applyFill="1" applyBorder="1" applyAlignment="1">
      <alignment horizontal="left" vertical="center" wrapText="1"/>
    </xf>
    <xf numFmtId="0" fontId="17" fillId="4" borderId="8" xfId="0" applyFont="1" applyFill="1" applyBorder="1" applyAlignment="1">
      <alignment horizontal="left" vertical="center" wrapText="1"/>
    </xf>
    <xf numFmtId="0" fontId="22" fillId="5" borderId="19" xfId="0" applyFont="1" applyFill="1" applyBorder="1" applyAlignment="1">
      <alignment horizontal="right" vertical="center"/>
    </xf>
    <xf numFmtId="0" fontId="22" fillId="5" borderId="0" xfId="0" applyFont="1" applyFill="1" applyBorder="1" applyAlignment="1">
      <alignment horizontal="right" vertical="center"/>
    </xf>
    <xf numFmtId="0" fontId="22" fillId="5" borderId="13" xfId="0" applyFont="1" applyFill="1" applyBorder="1" applyAlignment="1">
      <alignment horizontal="right" vertical="center"/>
    </xf>
    <xf numFmtId="0" fontId="14" fillId="8" borderId="9" xfId="0" applyFont="1" applyFill="1" applyBorder="1" applyAlignment="1">
      <alignment horizontal="center" vertical="center" wrapText="1"/>
    </xf>
    <xf numFmtId="0" fontId="14" fillId="6" borderId="0" xfId="0" applyFont="1" applyFill="1" applyBorder="1" applyAlignment="1">
      <alignment horizontal="center" vertical="center" wrapText="1"/>
    </xf>
    <xf numFmtId="0" fontId="14" fillId="2" borderId="2" xfId="1" applyFont="1" applyFill="1" applyBorder="1" applyAlignment="1">
      <alignment horizontal="center" vertical="center" wrapText="1"/>
    </xf>
    <xf numFmtId="0" fontId="14" fillId="2" borderId="25" xfId="1" applyFont="1" applyFill="1" applyBorder="1" applyAlignment="1">
      <alignment horizontal="center" vertical="center" wrapText="1"/>
    </xf>
    <xf numFmtId="0" fontId="14" fillId="2" borderId="26" xfId="1" applyFont="1" applyFill="1" applyBorder="1" applyAlignment="1">
      <alignment horizontal="center" vertical="center" wrapText="1"/>
    </xf>
    <xf numFmtId="0" fontId="14" fillId="3" borderId="4" xfId="1" applyFont="1" applyFill="1" applyBorder="1" applyAlignment="1">
      <alignment horizontal="center" vertical="center" wrapText="1"/>
    </xf>
    <xf numFmtId="0" fontId="14" fillId="3" borderId="2" xfId="1" applyFont="1" applyFill="1" applyBorder="1" applyAlignment="1">
      <alignment horizontal="center" vertical="center" wrapText="1"/>
    </xf>
    <xf numFmtId="0" fontId="9" fillId="4" borderId="6" xfId="0" applyFont="1" applyFill="1" applyBorder="1" applyAlignment="1" applyProtection="1">
      <alignment horizontal="left" vertical="center"/>
      <protection locked="0"/>
    </xf>
    <xf numFmtId="0" fontId="9" fillId="4" borderId="7" xfId="0" applyFont="1" applyFill="1" applyBorder="1" applyAlignment="1" applyProtection="1">
      <alignment horizontal="left" vertical="center"/>
      <protection locked="0"/>
    </xf>
    <xf numFmtId="0" fontId="9" fillId="4" borderId="8" xfId="0" applyFont="1" applyFill="1" applyBorder="1" applyAlignment="1" applyProtection="1">
      <alignment horizontal="left" vertical="center"/>
      <protection locked="0"/>
    </xf>
    <xf numFmtId="0" fontId="1" fillId="5" borderId="0" xfId="0" applyFont="1" applyFill="1" applyAlignment="1">
      <alignment horizontal="right" vertical="center" indent="1"/>
    </xf>
    <xf numFmtId="0" fontId="1" fillId="8" borderId="5" xfId="0" applyFont="1" applyFill="1" applyBorder="1" applyAlignment="1">
      <alignment horizontal="left" vertical="center" wrapText="1"/>
    </xf>
    <xf numFmtId="0" fontId="1" fillId="8" borderId="1" xfId="0" applyFont="1" applyFill="1" applyBorder="1" applyAlignment="1">
      <alignment horizontal="left" vertical="center" wrapText="1"/>
    </xf>
    <xf numFmtId="0" fontId="1" fillId="6" borderId="1" xfId="0" applyFont="1" applyFill="1" applyBorder="1" applyAlignment="1">
      <alignment horizontal="left" vertical="center" wrapText="1"/>
    </xf>
    <xf numFmtId="0" fontId="6" fillId="0" borderId="0" xfId="0" applyFont="1" applyAlignment="1">
      <alignment horizontal="center" vertical="center" wrapText="1"/>
    </xf>
    <xf numFmtId="0" fontId="6" fillId="0" borderId="1" xfId="0" applyFont="1" applyBorder="1" applyAlignment="1">
      <alignment horizontal="center" vertical="center" wrapText="1"/>
    </xf>
    <xf numFmtId="0" fontId="6" fillId="0" borderId="0" xfId="0" applyFont="1" applyBorder="1" applyAlignment="1">
      <alignment horizontal="center" vertical="center" wrapText="1"/>
    </xf>
    <xf numFmtId="0" fontId="1" fillId="0" borderId="0" xfId="0" applyFont="1" applyAlignment="1">
      <alignment horizontal="center" vertical="center" wrapText="1"/>
    </xf>
    <xf numFmtId="0" fontId="1" fillId="14" borderId="2" xfId="0" applyFont="1" applyFill="1" applyBorder="1" applyAlignment="1">
      <alignment horizontal="center" vertical="center"/>
    </xf>
    <xf numFmtId="0" fontId="0" fillId="14" borderId="30" xfId="0" applyFill="1" applyBorder="1" applyAlignment="1">
      <alignment horizontal="center" vertical="center"/>
    </xf>
    <xf numFmtId="0" fontId="1" fillId="14" borderId="0" xfId="0" applyFont="1" applyFill="1" applyBorder="1" applyAlignment="1">
      <alignment horizontal="center" vertical="center"/>
    </xf>
    <xf numFmtId="0" fontId="0" fillId="10" borderId="30" xfId="0" applyFill="1" applyBorder="1" applyAlignment="1">
      <alignment horizontal="center" vertical="center"/>
    </xf>
    <xf numFmtId="0" fontId="0" fillId="14" borderId="31" xfId="0" applyFill="1" applyBorder="1" applyAlignment="1">
      <alignment horizontal="center" vertical="center"/>
    </xf>
    <xf numFmtId="0" fontId="0" fillId="13" borderId="32" xfId="0" applyFill="1" applyBorder="1" applyAlignment="1">
      <alignment horizontal="center" vertical="center"/>
    </xf>
    <xf numFmtId="0" fontId="0" fillId="11" borderId="30" xfId="0" applyFill="1" applyBorder="1" applyAlignment="1">
      <alignment horizontal="center" vertical="center"/>
    </xf>
    <xf numFmtId="0" fontId="0" fillId="10" borderId="33" xfId="0" applyFill="1" applyBorder="1" applyAlignment="1">
      <alignment horizontal="center" vertical="center"/>
    </xf>
    <xf numFmtId="0" fontId="0" fillId="11" borderId="34" xfId="0" applyFill="1" applyBorder="1" applyAlignment="1">
      <alignment horizontal="center" vertical="center"/>
    </xf>
    <xf numFmtId="0" fontId="0" fillId="13" borderId="35" xfId="0" applyFill="1" applyBorder="1" applyAlignment="1">
      <alignment horizontal="center" vertical="center"/>
    </xf>
  </cellXfs>
  <cellStyles count="2">
    <cellStyle name="Link" xfId="1" builtinId="8"/>
    <cellStyle name="Standard" xfId="0" builtinId="0"/>
  </cellStyles>
  <dxfs count="37">
    <dxf>
      <fill>
        <patternFill>
          <bgColor rgb="FF92D050"/>
        </patternFill>
      </fill>
    </dxf>
    <dxf>
      <fill>
        <patternFill>
          <bgColor rgb="FF92D050"/>
        </patternFill>
      </fill>
    </dxf>
    <dxf>
      <fill>
        <patternFill>
          <bgColor theme="9" tint="0.79998168889431442"/>
        </patternFill>
      </fill>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s>
  <tableStyles count="0" defaultTableStyle="TableStyleMedium2" defaultPivotStyle="PivotStyleLight16"/>
  <colors>
    <mruColors>
      <color rgb="FFF8696B"/>
      <color rgb="FF63BE7B"/>
      <color rgb="FF2AA839"/>
      <color rgb="FFFFFFCC"/>
      <color rgb="FFBBE3C5"/>
      <color rgb="FFF41015"/>
      <color rgb="FFFBB3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DE"/>
              <a:t>Goals &amp; Risks per Stakeholder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barChart>
        <c:barDir val="col"/>
        <c:grouping val="clustered"/>
        <c:varyColors val="0"/>
        <c:ser>
          <c:idx val="0"/>
          <c:order val="0"/>
          <c:tx>
            <c:strRef>
              <c:f>Dashboard!$C$27</c:f>
              <c:strCache>
                <c:ptCount val="1"/>
                <c:pt idx="0">
                  <c:v>Goals per Stakeholder</c:v>
                </c:pt>
              </c:strCache>
            </c:strRef>
          </c:tx>
          <c:spPr>
            <a:solidFill>
              <a:srgbClr val="63BE7B"/>
            </a:solidFill>
            <a:ln>
              <a:noFill/>
            </a:ln>
            <a:effectLst>
              <a:outerShdw blurRad="57150" dist="19050" dir="5400000" algn="ctr" rotWithShape="0">
                <a:srgbClr val="000000">
                  <a:alpha val="63000"/>
                </a:srgbClr>
              </a:outerShdw>
            </a:effectLst>
          </c:spPr>
          <c:invertIfNegative val="0"/>
          <c:cat>
            <c:strRef>
              <c:f>Dashboard!$B$28:$B$38</c:f>
              <c:strCache>
                <c:ptCount val="11"/>
                <c:pt idx="0">
                  <c:v>Person Suffering From Dementia</c:v>
                </c:pt>
                <c:pt idx="1">
                  <c:v>Contact Person</c:v>
                </c:pt>
                <c:pt idx="2">
                  <c:v>Alert Button User</c:v>
                </c:pt>
                <c:pt idx="3">
                  <c:v>Location with Alert Button</c:v>
                </c:pt>
                <c:pt idx="4">
                  <c:v>Nursing Home Caregiver</c:v>
                </c:pt>
                <c:pt idx="5">
                  <c:v>Nursing  Home Management</c:v>
                </c:pt>
                <c:pt idx="6">
                  <c:v>Nursing Home</c:v>
                </c:pt>
                <c:pt idx="7">
                  <c:v>Health Insurance</c:v>
                </c:pt>
                <c:pt idx="8">
                  <c:v>Emergency Call System Operator</c:v>
                </c:pt>
                <c:pt idx="9">
                  <c:v>ILA Startup</c:v>
                </c:pt>
                <c:pt idx="10">
                  <c:v>Society</c:v>
                </c:pt>
              </c:strCache>
            </c:strRef>
          </c:cat>
          <c:val>
            <c:numRef>
              <c:f>Dashboard!$C$28:$C$38</c:f>
              <c:numCache>
                <c:formatCode>General</c:formatCode>
                <c:ptCount val="11"/>
                <c:pt idx="0">
                  <c:v>5</c:v>
                </c:pt>
                <c:pt idx="1">
                  <c:v>2</c:v>
                </c:pt>
                <c:pt idx="2">
                  <c:v>1</c:v>
                </c:pt>
                <c:pt idx="3">
                  <c:v>2</c:v>
                </c:pt>
                <c:pt idx="4">
                  <c:v>2</c:v>
                </c:pt>
                <c:pt idx="5">
                  <c:v>2</c:v>
                </c:pt>
                <c:pt idx="6">
                  <c:v>1</c:v>
                </c:pt>
                <c:pt idx="7">
                  <c:v>3</c:v>
                </c:pt>
                <c:pt idx="8">
                  <c:v>3</c:v>
                </c:pt>
                <c:pt idx="9">
                  <c:v>6</c:v>
                </c:pt>
                <c:pt idx="10">
                  <c:v>2</c:v>
                </c:pt>
              </c:numCache>
            </c:numRef>
          </c:val>
          <c:extLst>
            <c:ext xmlns:c16="http://schemas.microsoft.com/office/drawing/2014/chart" uri="{C3380CC4-5D6E-409C-BE32-E72D297353CC}">
              <c16:uniqueId val="{00000000-9BF5-4556-87D9-682C5C131A35}"/>
            </c:ext>
          </c:extLst>
        </c:ser>
        <c:ser>
          <c:idx val="1"/>
          <c:order val="1"/>
          <c:tx>
            <c:strRef>
              <c:f>Dashboard!$D$27</c:f>
              <c:strCache>
                <c:ptCount val="1"/>
                <c:pt idx="0">
                  <c:v>Risks per Stakeholder</c:v>
                </c:pt>
              </c:strCache>
            </c:strRef>
          </c:tx>
          <c:spPr>
            <a:solidFill>
              <a:srgbClr val="F8696B"/>
            </a:solidFill>
            <a:ln>
              <a:noFill/>
            </a:ln>
            <a:effectLst>
              <a:outerShdw blurRad="57150" dist="19050" dir="5400000" algn="ctr" rotWithShape="0">
                <a:srgbClr val="000000">
                  <a:alpha val="63000"/>
                </a:srgbClr>
              </a:outerShdw>
            </a:effectLst>
          </c:spPr>
          <c:invertIfNegative val="0"/>
          <c:cat>
            <c:strRef>
              <c:f>Dashboard!$B$28:$B$38</c:f>
              <c:strCache>
                <c:ptCount val="11"/>
                <c:pt idx="0">
                  <c:v>Person Suffering From Dementia</c:v>
                </c:pt>
                <c:pt idx="1">
                  <c:v>Contact Person</c:v>
                </c:pt>
                <c:pt idx="2">
                  <c:v>Alert Button User</c:v>
                </c:pt>
                <c:pt idx="3">
                  <c:v>Location with Alert Button</c:v>
                </c:pt>
                <c:pt idx="4">
                  <c:v>Nursing Home Caregiver</c:v>
                </c:pt>
                <c:pt idx="5">
                  <c:v>Nursing  Home Management</c:v>
                </c:pt>
                <c:pt idx="6">
                  <c:v>Nursing Home</c:v>
                </c:pt>
                <c:pt idx="7">
                  <c:v>Health Insurance</c:v>
                </c:pt>
                <c:pt idx="8">
                  <c:v>Emergency Call System Operator</c:v>
                </c:pt>
                <c:pt idx="9">
                  <c:v>ILA Startup</c:v>
                </c:pt>
                <c:pt idx="10">
                  <c:v>Society</c:v>
                </c:pt>
              </c:strCache>
            </c:strRef>
          </c:cat>
          <c:val>
            <c:numRef>
              <c:f>Dashboard!$D$28:$D$38</c:f>
              <c:numCache>
                <c:formatCode>General</c:formatCode>
                <c:ptCount val="11"/>
                <c:pt idx="0">
                  <c:v>9</c:v>
                </c:pt>
                <c:pt idx="1">
                  <c:v>13</c:v>
                </c:pt>
                <c:pt idx="2">
                  <c:v>5</c:v>
                </c:pt>
                <c:pt idx="3">
                  <c:v>10</c:v>
                </c:pt>
                <c:pt idx="4">
                  <c:v>0</c:v>
                </c:pt>
                <c:pt idx="5">
                  <c:v>5</c:v>
                </c:pt>
                <c:pt idx="6">
                  <c:v>5</c:v>
                </c:pt>
                <c:pt idx="7">
                  <c:v>3</c:v>
                </c:pt>
                <c:pt idx="8">
                  <c:v>7</c:v>
                </c:pt>
                <c:pt idx="9">
                  <c:v>6</c:v>
                </c:pt>
                <c:pt idx="10">
                  <c:v>1</c:v>
                </c:pt>
              </c:numCache>
            </c:numRef>
          </c:val>
          <c:extLst>
            <c:ext xmlns:c16="http://schemas.microsoft.com/office/drawing/2014/chart" uri="{C3380CC4-5D6E-409C-BE32-E72D297353CC}">
              <c16:uniqueId val="{00000001-9BF5-4556-87D9-682C5C131A35}"/>
            </c:ext>
          </c:extLst>
        </c:ser>
        <c:dLbls>
          <c:showLegendKey val="0"/>
          <c:showVal val="0"/>
          <c:showCatName val="0"/>
          <c:showSerName val="0"/>
          <c:showPercent val="0"/>
          <c:showBubbleSize val="0"/>
        </c:dLbls>
        <c:gapWidth val="100"/>
        <c:overlap val="-24"/>
        <c:axId val="1073856255"/>
        <c:axId val="1073854591"/>
      </c:barChart>
      <c:catAx>
        <c:axId val="10738562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73854591"/>
        <c:crosses val="autoZero"/>
        <c:auto val="1"/>
        <c:lblAlgn val="ctr"/>
        <c:lblOffset val="100"/>
        <c:noMultiLvlLbl val="0"/>
      </c:catAx>
      <c:valAx>
        <c:axId val="107385459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738562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DE" sz="1600" b="1" i="0" u="none" strike="noStrike" baseline="0">
                <a:effectLst/>
              </a:rPr>
              <a:t>Goals &amp; Risks per Dimension</a:t>
            </a:r>
            <a:endParaRPr lang="de-DE"/>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barChart>
        <c:barDir val="col"/>
        <c:grouping val="clustered"/>
        <c:varyColors val="0"/>
        <c:ser>
          <c:idx val="0"/>
          <c:order val="0"/>
          <c:tx>
            <c:strRef>
              <c:f>Dashboard!$G$27</c:f>
              <c:strCache>
                <c:ptCount val="1"/>
                <c:pt idx="0">
                  <c:v>Goals per Dimension</c:v>
                </c:pt>
              </c:strCache>
            </c:strRef>
          </c:tx>
          <c:spPr>
            <a:solidFill>
              <a:srgbClr val="63BE7B"/>
            </a:solidFill>
            <a:ln>
              <a:noFill/>
            </a:ln>
            <a:effectLst>
              <a:outerShdw blurRad="57150" dist="19050" dir="5400000" algn="ctr" rotWithShape="0">
                <a:srgbClr val="000000">
                  <a:alpha val="63000"/>
                </a:srgbClr>
              </a:outerShdw>
            </a:effectLst>
          </c:spPr>
          <c:invertIfNegative val="0"/>
          <c:cat>
            <c:strRef>
              <c:f>Dashboard!$F$28:$F$37</c:f>
              <c:strCache>
                <c:ptCount val="10"/>
                <c:pt idx="0">
                  <c:v>Safety</c:v>
                </c:pt>
                <c:pt idx="1">
                  <c:v>Care</c:v>
                </c:pt>
                <c:pt idx="2">
                  <c:v>Autonomy</c:v>
                </c:pt>
                <c:pt idx="3">
                  <c:v>Participation</c:v>
                </c:pt>
                <c:pt idx="4">
                  <c:v>Privacy</c:v>
                </c:pt>
                <c:pt idx="5">
                  <c:v>Fairness</c:v>
                </c:pt>
                <c:pt idx="6">
                  <c:v>Self-Conception</c:v>
                </c:pt>
                <c:pt idx="7">
                  <c:v>Liability</c:v>
                </c:pt>
                <c:pt idx="8">
                  <c:v>Profitability</c:v>
                </c:pt>
                <c:pt idx="9">
                  <c:v>Opportunity</c:v>
                </c:pt>
              </c:strCache>
            </c:strRef>
          </c:cat>
          <c:val>
            <c:numRef>
              <c:f>Dashboard!$G$28:$G$37</c:f>
              <c:numCache>
                <c:formatCode>General</c:formatCode>
                <c:ptCount val="10"/>
                <c:pt idx="0">
                  <c:v>1</c:v>
                </c:pt>
                <c:pt idx="1">
                  <c:v>0</c:v>
                </c:pt>
                <c:pt idx="2">
                  <c:v>4</c:v>
                </c:pt>
                <c:pt idx="3">
                  <c:v>3</c:v>
                </c:pt>
                <c:pt idx="4">
                  <c:v>0</c:v>
                </c:pt>
                <c:pt idx="5">
                  <c:v>0</c:v>
                </c:pt>
                <c:pt idx="6">
                  <c:v>5</c:v>
                </c:pt>
                <c:pt idx="7">
                  <c:v>3</c:v>
                </c:pt>
                <c:pt idx="8">
                  <c:v>8</c:v>
                </c:pt>
                <c:pt idx="9">
                  <c:v>5</c:v>
                </c:pt>
              </c:numCache>
            </c:numRef>
          </c:val>
          <c:extLst>
            <c:ext xmlns:c16="http://schemas.microsoft.com/office/drawing/2014/chart" uri="{C3380CC4-5D6E-409C-BE32-E72D297353CC}">
              <c16:uniqueId val="{00000000-37DD-4C98-8494-39734DD576CA}"/>
            </c:ext>
          </c:extLst>
        </c:ser>
        <c:ser>
          <c:idx val="1"/>
          <c:order val="1"/>
          <c:tx>
            <c:strRef>
              <c:f>Dashboard!$H$27</c:f>
              <c:strCache>
                <c:ptCount val="1"/>
                <c:pt idx="0">
                  <c:v>Risks per Dimension</c:v>
                </c:pt>
              </c:strCache>
            </c:strRef>
          </c:tx>
          <c:spPr>
            <a:solidFill>
              <a:srgbClr val="F8696B"/>
            </a:solidFill>
            <a:ln>
              <a:noFill/>
            </a:ln>
            <a:effectLst>
              <a:outerShdw blurRad="57150" dist="19050" dir="5400000" algn="ctr" rotWithShape="0">
                <a:srgbClr val="000000">
                  <a:alpha val="63000"/>
                </a:srgbClr>
              </a:outerShdw>
            </a:effectLst>
          </c:spPr>
          <c:invertIfNegative val="0"/>
          <c:cat>
            <c:strRef>
              <c:f>Dashboard!$F$28:$F$37</c:f>
              <c:strCache>
                <c:ptCount val="10"/>
                <c:pt idx="0">
                  <c:v>Safety</c:v>
                </c:pt>
                <c:pt idx="1">
                  <c:v>Care</c:v>
                </c:pt>
                <c:pt idx="2">
                  <c:v>Autonomy</c:v>
                </c:pt>
                <c:pt idx="3">
                  <c:v>Participation</c:v>
                </c:pt>
                <c:pt idx="4">
                  <c:v>Privacy</c:v>
                </c:pt>
                <c:pt idx="5">
                  <c:v>Fairness</c:v>
                </c:pt>
                <c:pt idx="6">
                  <c:v>Self-Conception</c:v>
                </c:pt>
                <c:pt idx="7">
                  <c:v>Liability</c:v>
                </c:pt>
                <c:pt idx="8">
                  <c:v>Profitability</c:v>
                </c:pt>
                <c:pt idx="9">
                  <c:v>Opportunity</c:v>
                </c:pt>
              </c:strCache>
            </c:strRef>
          </c:cat>
          <c:val>
            <c:numRef>
              <c:f>Dashboard!$H$28:$H$37</c:f>
              <c:numCache>
                <c:formatCode>General</c:formatCode>
                <c:ptCount val="10"/>
                <c:pt idx="0">
                  <c:v>3</c:v>
                </c:pt>
                <c:pt idx="1">
                  <c:v>3</c:v>
                </c:pt>
                <c:pt idx="2">
                  <c:v>4</c:v>
                </c:pt>
                <c:pt idx="3">
                  <c:v>0</c:v>
                </c:pt>
                <c:pt idx="4">
                  <c:v>28</c:v>
                </c:pt>
                <c:pt idx="5">
                  <c:v>2</c:v>
                </c:pt>
                <c:pt idx="6">
                  <c:v>1</c:v>
                </c:pt>
                <c:pt idx="7">
                  <c:v>17</c:v>
                </c:pt>
                <c:pt idx="8">
                  <c:v>5</c:v>
                </c:pt>
                <c:pt idx="9">
                  <c:v>1</c:v>
                </c:pt>
              </c:numCache>
            </c:numRef>
          </c:val>
          <c:extLst>
            <c:ext xmlns:c16="http://schemas.microsoft.com/office/drawing/2014/chart" uri="{C3380CC4-5D6E-409C-BE32-E72D297353CC}">
              <c16:uniqueId val="{00000001-37DD-4C98-8494-39734DD576CA}"/>
            </c:ext>
          </c:extLst>
        </c:ser>
        <c:dLbls>
          <c:showLegendKey val="0"/>
          <c:showVal val="0"/>
          <c:showCatName val="0"/>
          <c:showSerName val="0"/>
          <c:showPercent val="0"/>
          <c:showBubbleSize val="0"/>
        </c:dLbls>
        <c:gapWidth val="100"/>
        <c:overlap val="-24"/>
        <c:axId val="1070948751"/>
        <c:axId val="1070945423"/>
      </c:barChart>
      <c:catAx>
        <c:axId val="10709487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70945423"/>
        <c:crosses val="autoZero"/>
        <c:auto val="1"/>
        <c:lblAlgn val="ctr"/>
        <c:lblOffset val="100"/>
        <c:noMultiLvlLbl val="0"/>
      </c:catAx>
      <c:valAx>
        <c:axId val="107094542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709487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xdr:colOff>
          <xdr:row>6</xdr:row>
          <xdr:rowOff>22860</xdr:rowOff>
        </xdr:from>
        <xdr:to>
          <xdr:col>4</xdr:col>
          <xdr:colOff>30480</xdr:colOff>
          <xdr:row>6</xdr:row>
          <xdr:rowOff>152400</xdr:rowOff>
        </xdr:to>
        <xdr:sp macro="" textlink="">
          <xdr:nvSpPr>
            <xdr:cNvPr id="2064" name="Button 16" hidden="1">
              <a:extLst>
                <a:ext uri="{63B3BB69-23CF-44E3-9099-C40C66FF867C}">
                  <a14:compatExt spid="_x0000_s2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8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106680</xdr:colOff>
          <xdr:row>6</xdr:row>
          <xdr:rowOff>22860</xdr:rowOff>
        </xdr:from>
        <xdr:to>
          <xdr:col>4</xdr:col>
          <xdr:colOff>441960</xdr:colOff>
          <xdr:row>6</xdr:row>
          <xdr:rowOff>152400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800" b="0" i="0" u="none" strike="noStrike" baseline="0">
                  <a:solidFill>
                    <a:srgbClr val="000000"/>
                  </a:solidFill>
                  <a:latin typeface="Calibri"/>
                  <a:cs typeface="Calibri"/>
                </a:rPr>
                <a:t>none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1</xdr:row>
          <xdr:rowOff>106680</xdr:rowOff>
        </xdr:from>
        <xdr:to>
          <xdr:col>1</xdr:col>
          <xdr:colOff>1356360</xdr:colOff>
          <xdr:row>3</xdr:row>
          <xdr:rowOff>45720</xdr:rowOff>
        </xdr:to>
        <xdr:sp macro="" textlink="">
          <xdr:nvSpPr>
            <xdr:cNvPr id="10391" name="Button 151" hidden="1">
              <a:extLst>
                <a:ext uri="{63B3BB69-23CF-44E3-9099-C40C66FF867C}">
                  <a14:compatExt spid="_x0000_s103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Requirement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1531620</xdr:colOff>
          <xdr:row>1</xdr:row>
          <xdr:rowOff>114300</xdr:rowOff>
        </xdr:from>
        <xdr:to>
          <xdr:col>1</xdr:col>
          <xdr:colOff>3291840</xdr:colOff>
          <xdr:row>3</xdr:row>
          <xdr:rowOff>53340</xdr:rowOff>
        </xdr:to>
        <xdr:sp macro="" textlink="">
          <xdr:nvSpPr>
            <xdr:cNvPr id="10437" name="Button 197" hidden="1">
              <a:extLst>
                <a:ext uri="{63B3BB69-23CF-44E3-9099-C40C66FF867C}">
                  <a14:compatExt spid="_x0000_s104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Delete Last Requirement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215017</xdr:colOff>
      <xdr:row>0</xdr:row>
      <xdr:rowOff>158198</xdr:rowOff>
    </xdr:from>
    <xdr:to>
      <xdr:col>5</xdr:col>
      <xdr:colOff>345800</xdr:colOff>
      <xdr:row>18</xdr:row>
      <xdr:rowOff>133847</xdr:rowOff>
    </xdr:to>
    <xdr:graphicFrame macro="">
      <xdr:nvGraphicFramePr>
        <xdr:cNvPr id="4" name="Diagramm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537856</xdr:colOff>
      <xdr:row>0</xdr:row>
      <xdr:rowOff>162746</xdr:rowOff>
    </xdr:from>
    <xdr:to>
      <xdr:col>11</xdr:col>
      <xdr:colOff>576469</xdr:colOff>
      <xdr:row>18</xdr:row>
      <xdr:rowOff>159025</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Y27"/>
  <sheetViews>
    <sheetView showGridLines="0" showZeros="0" zoomScale="85" zoomScaleNormal="85" workbookViewId="0">
      <pane xSplit="3" ySplit="8" topLeftCell="D9" activePane="bottomRight" state="frozen"/>
      <selection pane="topRight" activeCell="C1" sqref="C1"/>
      <selection pane="bottomLeft" activeCell="A3" sqref="A3"/>
      <selection pane="bottomRight" activeCell="D2" sqref="D2:E2"/>
    </sheetView>
  </sheetViews>
  <sheetFormatPr baseColWidth="10" defaultColWidth="8.88671875" defaultRowHeight="14.4" x14ac:dyDescent="0.3"/>
  <cols>
    <col min="1" max="1" width="34.33203125" style="1" customWidth="1"/>
    <col min="2" max="2" width="4.33203125" style="1" customWidth="1"/>
    <col min="3" max="3" width="5.5546875" style="7" hidden="1" customWidth="1"/>
    <col min="4" max="5" width="6.44140625" style="3" customWidth="1"/>
    <col min="6" max="7" width="6.44140625" style="13" customWidth="1"/>
    <col min="8" max="9" width="6.44140625" style="3" customWidth="1"/>
    <col min="10" max="11" width="6.44140625" style="13" customWidth="1"/>
    <col min="12" max="13" width="6.44140625" style="3" customWidth="1"/>
    <col min="14" max="19" width="6.44140625" style="13" customWidth="1"/>
    <col min="20" max="23" width="6.44140625" style="3" customWidth="1"/>
    <col min="26" max="16384" width="8.88671875" style="1"/>
  </cols>
  <sheetData>
    <row r="1" spans="1:25" ht="7.2" customHeight="1" thickBot="1" x14ac:dyDescent="0.35">
      <c r="A1" s="57"/>
      <c r="B1" s="57"/>
      <c r="C1" s="58"/>
      <c r="D1" s="57"/>
      <c r="E1" s="58"/>
      <c r="F1" s="59"/>
      <c r="G1" s="59"/>
      <c r="H1" s="58"/>
      <c r="I1" s="58"/>
      <c r="J1" s="59"/>
      <c r="K1" s="59"/>
      <c r="L1" s="58"/>
      <c r="M1" s="58"/>
      <c r="N1" s="59"/>
      <c r="O1" s="59"/>
      <c r="P1" s="59"/>
      <c r="Q1" s="18"/>
      <c r="R1" s="18"/>
      <c r="S1" s="18"/>
      <c r="T1" s="18"/>
      <c r="U1" s="18"/>
      <c r="V1" s="18"/>
      <c r="W1" s="18"/>
      <c r="X1" s="14"/>
      <c r="Y1" s="14"/>
    </row>
    <row r="2" spans="1:25" ht="15" customHeight="1" thickBot="1" x14ac:dyDescent="0.35">
      <c r="A2" s="130" t="s">
        <v>213</v>
      </c>
      <c r="B2" s="130"/>
      <c r="C2" s="130"/>
      <c r="D2" s="133" t="s">
        <v>103</v>
      </c>
      <c r="E2" s="134"/>
      <c r="F2" s="135" t="str">
        <f>_Scenarios!B2</f>
        <v xml:space="preserve">Place Of Residence </v>
      </c>
      <c r="G2" s="136"/>
      <c r="H2" s="137"/>
      <c r="I2" s="131"/>
      <c r="J2" s="132"/>
      <c r="K2" s="135" t="str">
        <f>_Scenarios!B4</f>
        <v>Contact Person(s)</v>
      </c>
      <c r="L2" s="136"/>
      <c r="M2" s="137"/>
      <c r="N2" s="131" t="s">
        <v>217</v>
      </c>
      <c r="O2" s="132"/>
      <c r="P2" s="135" t="str">
        <f>_Scenarios!B6</f>
        <v xml:space="preserve">Legal Status </v>
      </c>
      <c r="Q2" s="136"/>
      <c r="R2" s="137"/>
      <c r="S2" s="131"/>
      <c r="T2" s="132"/>
      <c r="U2" s="72"/>
      <c r="V2" s="18"/>
      <c r="W2" s="18"/>
      <c r="X2" s="14"/>
      <c r="Y2" s="14"/>
    </row>
    <row r="3" spans="1:25" ht="4.8" customHeight="1" thickBot="1" x14ac:dyDescent="0.35">
      <c r="A3" s="77"/>
      <c r="B3" s="89"/>
      <c r="C3" s="77"/>
      <c r="D3" s="61"/>
      <c r="E3" s="61"/>
      <c r="F3" s="62"/>
      <c r="G3" s="62"/>
      <c r="H3" s="58"/>
      <c r="I3" s="58"/>
      <c r="J3" s="59"/>
      <c r="K3" s="59"/>
      <c r="L3" s="58"/>
      <c r="M3" s="58"/>
      <c r="N3" s="59"/>
      <c r="O3" s="60"/>
      <c r="P3" s="59"/>
      <c r="Q3" s="18"/>
      <c r="R3" s="18"/>
      <c r="S3" s="18"/>
      <c r="T3" s="18"/>
      <c r="U3" s="18"/>
      <c r="V3" s="18"/>
      <c r="W3" s="18"/>
      <c r="X3" s="14"/>
      <c r="Y3" s="14"/>
    </row>
    <row r="4" spans="1:25" ht="15" customHeight="1" thickBot="1" x14ac:dyDescent="0.35">
      <c r="A4" s="91"/>
      <c r="B4" s="91"/>
      <c r="C4" s="91"/>
      <c r="D4" s="91"/>
      <c r="E4" s="91"/>
      <c r="F4" s="136" t="str">
        <f>_Scenarios!B8</f>
        <v>ILA Administration</v>
      </c>
      <c r="G4" s="136"/>
      <c r="H4" s="137"/>
      <c r="I4" s="131" t="s">
        <v>227</v>
      </c>
      <c r="J4" s="132"/>
      <c r="K4" s="135" t="str">
        <f>_Scenarios!B10</f>
        <v>ILA Business Model</v>
      </c>
      <c r="L4" s="136"/>
      <c r="M4" s="137"/>
      <c r="N4" s="131" t="s">
        <v>225</v>
      </c>
      <c r="O4" s="132"/>
      <c r="P4" s="135" t="str">
        <f>_Scenarios!B12</f>
        <v>ILA Sponsorship</v>
      </c>
      <c r="Q4" s="136"/>
      <c r="R4" s="137"/>
      <c r="S4" s="131" t="s">
        <v>232</v>
      </c>
      <c r="T4" s="132"/>
      <c r="U4" s="18"/>
      <c r="V4" s="18"/>
      <c r="W4" s="18"/>
      <c r="X4" s="14"/>
      <c r="Y4" s="14"/>
    </row>
    <row r="5" spans="1:25" ht="8.4" customHeight="1" x14ac:dyDescent="0.3">
      <c r="A5" s="91"/>
      <c r="B5" s="91"/>
      <c r="C5" s="91"/>
      <c r="D5" s="91"/>
      <c r="E5" s="91"/>
      <c r="F5" s="62"/>
      <c r="G5" s="62"/>
      <c r="H5" s="58"/>
      <c r="I5" s="58"/>
      <c r="J5" s="59"/>
      <c r="K5" s="59"/>
      <c r="L5" s="58"/>
      <c r="M5" s="58"/>
      <c r="N5" s="59"/>
      <c r="O5" s="60"/>
      <c r="P5" s="59"/>
      <c r="Q5" s="18"/>
      <c r="R5" s="18"/>
      <c r="S5" s="18"/>
      <c r="T5" s="18"/>
      <c r="U5" s="18"/>
      <c r="V5" s="18"/>
      <c r="W5" s="18"/>
      <c r="X5" s="14"/>
      <c r="Y5" s="14"/>
    </row>
    <row r="6" spans="1:25" ht="8.4" customHeight="1" x14ac:dyDescent="0.3">
      <c r="C6" s="14"/>
      <c r="D6" s="14"/>
      <c r="X6" s="14"/>
      <c r="Y6" s="14"/>
    </row>
    <row r="7" spans="1:25" x14ac:dyDescent="0.3">
      <c r="D7" s="138" t="s">
        <v>135</v>
      </c>
      <c r="E7" s="138"/>
      <c r="F7" s="138"/>
      <c r="G7" s="138"/>
      <c r="H7" s="138"/>
      <c r="I7" s="138"/>
      <c r="J7" s="138"/>
      <c r="K7" s="138"/>
      <c r="L7" s="138"/>
      <c r="M7" s="138"/>
      <c r="N7" s="138"/>
      <c r="O7" s="138"/>
      <c r="P7" s="138"/>
      <c r="Q7" s="138"/>
      <c r="R7" s="139" t="s">
        <v>133</v>
      </c>
      <c r="S7" s="139"/>
      <c r="T7" s="139"/>
      <c r="U7" s="139"/>
      <c r="V7" s="139"/>
      <c r="W7" s="139"/>
    </row>
    <row r="8" spans="1:25" ht="32.4" customHeight="1" thickBot="1" x14ac:dyDescent="0.35">
      <c r="A8" s="2" t="s">
        <v>9</v>
      </c>
      <c r="B8" s="90" t="s">
        <v>247</v>
      </c>
      <c r="C8" s="90" t="s">
        <v>10</v>
      </c>
      <c r="D8" s="140" t="s">
        <v>2</v>
      </c>
      <c r="E8" s="140"/>
      <c r="F8" s="141" t="s">
        <v>0</v>
      </c>
      <c r="G8" s="142"/>
      <c r="H8" s="141" t="s">
        <v>1</v>
      </c>
      <c r="I8" s="142"/>
      <c r="J8" s="141" t="s">
        <v>5</v>
      </c>
      <c r="K8" s="142"/>
      <c r="L8" s="141" t="s">
        <v>4</v>
      </c>
      <c r="M8" s="142"/>
      <c r="N8" s="141" t="s">
        <v>3</v>
      </c>
      <c r="O8" s="142"/>
      <c r="P8" s="141" t="s">
        <v>6</v>
      </c>
      <c r="Q8" s="142"/>
      <c r="R8" s="143" t="s">
        <v>71</v>
      </c>
      <c r="S8" s="144"/>
      <c r="T8" s="143" t="s">
        <v>7</v>
      </c>
      <c r="U8" s="144"/>
      <c r="V8" s="143" t="s">
        <v>8</v>
      </c>
      <c r="W8" s="144"/>
      <c r="X8" s="78"/>
    </row>
    <row r="9" spans="1:25" ht="24" customHeight="1" thickTop="1" x14ac:dyDescent="0.3">
      <c r="A9" s="93" t="s">
        <v>51</v>
      </c>
      <c r="B9" s="94">
        <v>1</v>
      </c>
      <c r="C9" s="95" t="s">
        <v>33</v>
      </c>
      <c r="D9" s="97">
        <f t="shared" ref="D9:D19" si="0">IF(INDEX(Dimensions_Shown,1,ROUNDDOWN((COLUMN()-2)/2,0)),
     SUMIFS(GR_Actual_Degrees,GR_Affected_Stakeholders,$A9,GR_Dims_System_might_affect,D$8,GR_Actual_Degrees,"&lt;0"),0)</f>
        <v>-3</v>
      </c>
      <c r="E9" s="97">
        <f t="shared" ref="E9:E19" si="1">IF(INDEX(Dimensions_Shown,1,ROUNDDOWN((COLUMN()-2)/2,0)),
       SUMIFS(GR_Actual_Degrees,GR_Affected_Stakeholders,$A9,GR_Dims_System_might_affect,D$8,GR_Actual_Degrees,"&gt;0"),0)</f>
        <v>1</v>
      </c>
      <c r="F9" s="96">
        <f t="shared" ref="F9:F19" si="2">IF(INDEX(Dimensions_Shown,1,ROUNDDOWN((COLUMN()-2)/2,0)),
SUMIFS(GR_Actual_Degrees,GR_Affected_Stakeholders,$A9,GR_Dims_System_might_affect,F$8,GR_Actual_Degrees,"&lt;0"),0)</f>
        <v>-1</v>
      </c>
      <c r="G9" s="97">
        <f t="shared" ref="G9:G19" si="3">IF(INDEX(Dimensions_Shown,1,ROUNDDOWN((COLUMN()-2)/2,0)),
SUMIFS(GR_Actual_Degrees,GR_Affected_Stakeholders,$A9,GR_Dims_System_might_affect,F$8,GR_Actual_Degrees,"&gt;0"),0)</f>
        <v>0</v>
      </c>
      <c r="H9" s="96">
        <f t="shared" ref="H9:H19" si="4">IF(INDEX(Dimensions_Shown,1,ROUNDDOWN((COLUMN()-2)/2,0)),
   SUMIFS(GR_Actual_Degrees,GR_Affected_Stakeholders,$A9,GR_Dims_System_might_affect,H$8,GR_Actual_Degrees,"&lt;0"),0)</f>
        <v>-1</v>
      </c>
      <c r="I9" s="97">
        <f t="shared" ref="I9:I19" si="5">IF(INDEX(Dimensions_Shown,1,ROUNDDOWN((COLUMN()-2)/2,0)),
SUMIFS(GR_Actual_Degrees,GR_Affected_Stakeholders,$A9,GR_Dims_System_might_affect,H$8,GR_Actual_Degrees,"&gt;0"),0)</f>
        <v>2</v>
      </c>
      <c r="J9" s="96">
        <f t="shared" ref="J9:J19" si="6">IF(INDEX(Dimensions_Shown,1,ROUNDDOWN((COLUMN()-2)/2,0)),SUMIFS(GR_Actual_Degrees,GR_Affected_Stakeholders,$A9,GR_Dims_System_might_affect,J$8,GR_Actual_Degrees,"&lt;0"),0)</f>
        <v>0</v>
      </c>
      <c r="K9" s="97">
        <f t="shared" ref="K9:K19" si="7">IF(INDEX(Dimensions_Shown,1,ROUNDDOWN((COLUMN()-2)/2,0)),SUMIFS(GR_Actual_Degrees,GR_Affected_Stakeholders,$A9,GR_Dims_System_might_affect,J$8,GR_Actual_Degrees,"&gt;0"),0)</f>
        <v>2</v>
      </c>
      <c r="L9" s="96">
        <f t="shared" ref="L9:L19" si="8">IF(INDEX(Dimensions_Shown,1,ROUNDDOWN((COLUMN()-2)/2,0)),SUMIFS(GR_Actual_Degrees,GR_Affected_Stakeholders,$A9,GR_Dims_System_might_affect,L$8,GR_Actual_Degrees,"&lt;0"),0)</f>
        <v>-4</v>
      </c>
      <c r="M9" s="97">
        <f t="shared" ref="M9:M19" si="9">IF(INDEX(Dimensions_Shown,1,ROUNDDOWN((COLUMN()-2)/2,0)),SUMIFS(GR_Actual_Degrees,GR_Affected_Stakeholders,$A9,GR_Dims_System_might_affect,L$8,GR_Actual_Degrees,"&gt;0"),0)</f>
        <v>0</v>
      </c>
      <c r="N9" s="96">
        <f t="shared" ref="N9:N19" si="10">IF(INDEX(Dimensions_Shown,1,ROUNDDOWN((COLUMN()-2)/2,0)),SUMIFS(GR_Actual_Degrees,GR_Affected_Stakeholders,$A9,GR_Dims_System_might_affect,N$8,GR_Actual_Degrees,"&lt;0"),0)</f>
        <v>0</v>
      </c>
      <c r="O9" s="97">
        <f t="shared" ref="O9:O19" si="11">IF(INDEX(Dimensions_Shown,1,ROUNDDOWN((COLUMN()-2)/2,0)),SUMIFS(GR_Actual_Degrees,GR_Affected_Stakeholders,$A9,GR_Dims_System_might_affect,N$8,GR_Actual_Degrees,"&gt;0"),0)</f>
        <v>0</v>
      </c>
      <c r="P9" s="96">
        <f t="shared" ref="P9:P19" si="12">IF(INDEX(Dimensions_Shown,1,ROUNDDOWN((COLUMN()-2)/2,0)),SUMIFS(GR_Actual_Degrees,GR_Affected_Stakeholders,$A9,GR_Dims_System_might_affect,P$8,GR_Actual_Degrees,"&lt;0"),0)</f>
        <v>0</v>
      </c>
      <c r="Q9" s="97">
        <f t="shared" ref="Q9:Q19" si="13">IF(INDEX(Dimensions_Shown,1,ROUNDDOWN((COLUMN()-2)/2,0)),SUMIFS(GR_Actual_Degrees,GR_Affected_Stakeholders,$A9,GR_Dims_System_might_affect,P$8,GR_Actual_Degrees,"&gt;0"),0)</f>
        <v>0</v>
      </c>
      <c r="R9" s="96">
        <f t="shared" ref="R9:R19" si="14">IF(INDEX(Dimensions_Shown,1,ROUNDDOWN((COLUMN()-2)/2,0)),SUMIFS(GR_Actual_Degrees,GR_Affected_Stakeholders,$A9,GR_Dims_System_might_affect,R$8,GR_Actual_Degrees,"&lt;0"),0)</f>
        <v>0</v>
      </c>
      <c r="S9" s="97">
        <f t="shared" ref="S9:S19" si="15">IF(INDEX(Dimensions_Shown,1,ROUNDDOWN((COLUMN()-2)/2,0)),SUMIFS(GR_Actual_Degrees,GR_Affected_Stakeholders,$A9,GR_Dims_System_might_affect,R$8,GR_Actual_Degrees,"&gt;0"),0)</f>
        <v>0</v>
      </c>
      <c r="T9" s="96">
        <f t="shared" ref="T9:T19" si="16">IF(INDEX(Dimensions_Shown,1,ROUNDDOWN((COLUMN()-2)/2,0)),SUMIFS(GR_Actual_Degrees,GR_Affected_Stakeholders,$A9,GR_Dims_System_might_affect,T$8,GR_Actual_Degrees,"&lt;0"),0)</f>
        <v>0</v>
      </c>
      <c r="U9" s="97">
        <f t="shared" ref="U9:U19" si="17">IF(INDEX(Dimensions_Shown,1,ROUNDDOWN((COLUMN()-2)/2,0)),SUMIFS(GR_Actual_Degrees,GR_Affected_Stakeholders,$A9,GR_Dims_System_might_affect,T$8,GR_Actual_Degrees,"&gt;0"),0)</f>
        <v>0</v>
      </c>
      <c r="V9" s="96">
        <f t="shared" ref="V9:V19" si="18">IF(INDEX(Dimensions_Shown,1,ROUNDDOWN((COLUMN()-2)/2,0)),SUMIFS(GR_Actual_Degrees,GR_Affected_Stakeholders,$A9,GR_Dims_System_might_affect,V$8,GR_Actual_Degrees,"&lt;0"),0)</f>
        <v>0</v>
      </c>
      <c r="W9" s="97">
        <f t="shared" ref="W9:W19" si="19">IF(INDEX(Dimensions_Shown,1,ROUNDDOWN((COLUMN()-2)/2,0)),SUMIFS(GR_Actual_Degrees,GR_Affected_Stakeholders,$A9,GR_Dims_System_might_affect,V$8,GR_Actual_Degrees,"&gt;0"),0)</f>
        <v>0</v>
      </c>
    </row>
    <row r="10" spans="1:25" ht="23.4" customHeight="1" x14ac:dyDescent="0.3">
      <c r="A10" s="98" t="s">
        <v>55</v>
      </c>
      <c r="B10" s="99">
        <v>2</v>
      </c>
      <c r="C10" s="100" t="s">
        <v>33</v>
      </c>
      <c r="D10" s="102">
        <f t="shared" si="0"/>
        <v>0</v>
      </c>
      <c r="E10" s="102">
        <f t="shared" si="1"/>
        <v>0</v>
      </c>
      <c r="F10" s="101">
        <f t="shared" si="2"/>
        <v>0</v>
      </c>
      <c r="G10" s="102">
        <f t="shared" si="3"/>
        <v>0</v>
      </c>
      <c r="H10" s="101">
        <f t="shared" si="4"/>
        <v>0</v>
      </c>
      <c r="I10" s="102">
        <f t="shared" si="5"/>
        <v>1</v>
      </c>
      <c r="J10" s="101">
        <f t="shared" si="6"/>
        <v>0</v>
      </c>
      <c r="K10" s="102">
        <f t="shared" si="7"/>
        <v>0</v>
      </c>
      <c r="L10" s="101">
        <f t="shared" si="8"/>
        <v>-4</v>
      </c>
      <c r="M10" s="102">
        <f t="shared" si="9"/>
        <v>0</v>
      </c>
      <c r="N10" s="101">
        <f t="shared" si="10"/>
        <v>-1</v>
      </c>
      <c r="O10" s="102">
        <f t="shared" si="11"/>
        <v>0</v>
      </c>
      <c r="P10" s="101">
        <f t="shared" si="12"/>
        <v>-1</v>
      </c>
      <c r="Q10" s="102">
        <f t="shared" si="13"/>
        <v>1</v>
      </c>
      <c r="R10" s="101">
        <f t="shared" si="14"/>
        <v>-3</v>
      </c>
      <c r="S10" s="102">
        <f t="shared" si="15"/>
        <v>0</v>
      </c>
      <c r="T10" s="101">
        <f t="shared" si="16"/>
        <v>0</v>
      </c>
      <c r="U10" s="102">
        <f t="shared" si="17"/>
        <v>0</v>
      </c>
      <c r="V10" s="101">
        <f t="shared" si="18"/>
        <v>0</v>
      </c>
      <c r="W10" s="102">
        <f t="shared" si="19"/>
        <v>0</v>
      </c>
    </row>
    <row r="11" spans="1:25" ht="23.4" customHeight="1" x14ac:dyDescent="0.3">
      <c r="A11" s="98" t="s">
        <v>141</v>
      </c>
      <c r="B11" s="99">
        <v>3</v>
      </c>
      <c r="C11" s="100" t="s">
        <v>33</v>
      </c>
      <c r="D11" s="102">
        <f t="shared" si="0"/>
        <v>0</v>
      </c>
      <c r="E11" s="102">
        <f t="shared" si="1"/>
        <v>0</v>
      </c>
      <c r="F11" s="101">
        <f t="shared" si="2"/>
        <v>0</v>
      </c>
      <c r="G11" s="102">
        <f t="shared" si="3"/>
        <v>0</v>
      </c>
      <c r="H11" s="101">
        <f t="shared" si="4"/>
        <v>0</v>
      </c>
      <c r="I11" s="102">
        <f t="shared" si="5"/>
        <v>0</v>
      </c>
      <c r="J11" s="101">
        <f t="shared" si="6"/>
        <v>0</v>
      </c>
      <c r="K11" s="102">
        <f t="shared" si="7"/>
        <v>0</v>
      </c>
      <c r="L11" s="101">
        <f t="shared" si="8"/>
        <v>-3</v>
      </c>
      <c r="M11" s="102">
        <f t="shared" si="9"/>
        <v>0</v>
      </c>
      <c r="N11" s="101">
        <f t="shared" si="10"/>
        <v>0</v>
      </c>
      <c r="O11" s="102">
        <f t="shared" si="11"/>
        <v>0</v>
      </c>
      <c r="P11" s="101">
        <f t="shared" si="12"/>
        <v>0</v>
      </c>
      <c r="Q11" s="102">
        <f t="shared" si="13"/>
        <v>0</v>
      </c>
      <c r="R11" s="101">
        <f t="shared" si="14"/>
        <v>-2</v>
      </c>
      <c r="S11" s="102">
        <f t="shared" si="15"/>
        <v>1</v>
      </c>
      <c r="T11" s="101">
        <f t="shared" si="16"/>
        <v>0</v>
      </c>
      <c r="U11" s="102">
        <f t="shared" si="17"/>
        <v>0</v>
      </c>
      <c r="V11" s="101">
        <f t="shared" si="18"/>
        <v>0</v>
      </c>
      <c r="W11" s="102">
        <f t="shared" si="19"/>
        <v>0</v>
      </c>
    </row>
    <row r="12" spans="1:25" ht="23.4" customHeight="1" x14ac:dyDescent="0.3">
      <c r="A12" s="98" t="s">
        <v>140</v>
      </c>
      <c r="B12" s="99">
        <v>3</v>
      </c>
      <c r="C12" s="100" t="s">
        <v>34</v>
      </c>
      <c r="D12" s="102">
        <f t="shared" si="0"/>
        <v>0</v>
      </c>
      <c r="E12" s="102">
        <f t="shared" si="1"/>
        <v>0</v>
      </c>
      <c r="F12" s="101">
        <f t="shared" si="2"/>
        <v>0</v>
      </c>
      <c r="G12" s="102">
        <f t="shared" si="3"/>
        <v>0</v>
      </c>
      <c r="H12" s="101">
        <f t="shared" si="4"/>
        <v>-1</v>
      </c>
      <c r="I12" s="102">
        <f t="shared" si="5"/>
        <v>0</v>
      </c>
      <c r="J12" s="101">
        <f t="shared" si="6"/>
        <v>0</v>
      </c>
      <c r="K12" s="102">
        <f t="shared" si="7"/>
        <v>0</v>
      </c>
      <c r="L12" s="101">
        <f t="shared" si="8"/>
        <v>-5</v>
      </c>
      <c r="M12" s="102">
        <f t="shared" si="9"/>
        <v>0</v>
      </c>
      <c r="N12" s="101">
        <f t="shared" si="10"/>
        <v>0</v>
      </c>
      <c r="O12" s="102">
        <f t="shared" si="11"/>
        <v>0</v>
      </c>
      <c r="P12" s="101">
        <f t="shared" si="12"/>
        <v>0</v>
      </c>
      <c r="Q12" s="102">
        <f t="shared" si="13"/>
        <v>1</v>
      </c>
      <c r="R12" s="101">
        <f t="shared" si="14"/>
        <v>-2</v>
      </c>
      <c r="S12" s="102">
        <f t="shared" si="15"/>
        <v>0</v>
      </c>
      <c r="T12" s="101">
        <f t="shared" si="16"/>
        <v>-2</v>
      </c>
      <c r="U12" s="102">
        <f t="shared" si="17"/>
        <v>1</v>
      </c>
      <c r="V12" s="101">
        <f t="shared" si="18"/>
        <v>0</v>
      </c>
      <c r="W12" s="102">
        <f t="shared" si="19"/>
        <v>0</v>
      </c>
    </row>
    <row r="13" spans="1:25" ht="23.4" customHeight="1" x14ac:dyDescent="0.3">
      <c r="A13" s="98" t="s">
        <v>242</v>
      </c>
      <c r="B13" s="99">
        <v>3</v>
      </c>
      <c r="C13" s="100" t="s">
        <v>33</v>
      </c>
      <c r="D13" s="102">
        <f t="shared" si="0"/>
        <v>0</v>
      </c>
      <c r="E13" s="102">
        <f t="shared" si="1"/>
        <v>0</v>
      </c>
      <c r="F13" s="101">
        <f t="shared" si="2"/>
        <v>0</v>
      </c>
      <c r="G13" s="102">
        <f t="shared" si="3"/>
        <v>0</v>
      </c>
      <c r="H13" s="101">
        <f t="shared" si="4"/>
        <v>0</v>
      </c>
      <c r="I13" s="102">
        <f t="shared" si="5"/>
        <v>0</v>
      </c>
      <c r="J13" s="101">
        <f t="shared" si="6"/>
        <v>0</v>
      </c>
      <c r="K13" s="102">
        <f t="shared" si="7"/>
        <v>0</v>
      </c>
      <c r="L13" s="101">
        <f t="shared" si="8"/>
        <v>0</v>
      </c>
      <c r="M13" s="102">
        <f t="shared" si="9"/>
        <v>0</v>
      </c>
      <c r="N13" s="101">
        <f t="shared" si="10"/>
        <v>0</v>
      </c>
      <c r="O13" s="102">
        <f t="shared" si="11"/>
        <v>0</v>
      </c>
      <c r="P13" s="101">
        <f t="shared" si="12"/>
        <v>0</v>
      </c>
      <c r="Q13" s="102">
        <f t="shared" si="13"/>
        <v>1</v>
      </c>
      <c r="R13" s="101">
        <f t="shared" si="14"/>
        <v>0</v>
      </c>
      <c r="S13" s="102">
        <f t="shared" si="15"/>
        <v>1</v>
      </c>
      <c r="T13" s="101">
        <f t="shared" si="16"/>
        <v>0</v>
      </c>
      <c r="U13" s="102">
        <f t="shared" si="17"/>
        <v>0</v>
      </c>
      <c r="V13" s="101">
        <f t="shared" si="18"/>
        <v>0</v>
      </c>
      <c r="W13" s="102">
        <f t="shared" si="19"/>
        <v>0</v>
      </c>
    </row>
    <row r="14" spans="1:25" ht="23.4" customHeight="1" x14ac:dyDescent="0.3">
      <c r="A14" s="98" t="s">
        <v>69</v>
      </c>
      <c r="B14" s="99">
        <v>3</v>
      </c>
      <c r="C14" s="100" t="s">
        <v>33</v>
      </c>
      <c r="D14" s="102">
        <f t="shared" si="0"/>
        <v>0</v>
      </c>
      <c r="E14" s="102">
        <f t="shared" si="1"/>
        <v>0</v>
      </c>
      <c r="F14" s="101">
        <f t="shared" si="2"/>
        <v>0</v>
      </c>
      <c r="G14" s="102">
        <f t="shared" si="3"/>
        <v>0</v>
      </c>
      <c r="H14" s="101">
        <f t="shared" si="4"/>
        <v>0</v>
      </c>
      <c r="I14" s="102">
        <f t="shared" si="5"/>
        <v>0</v>
      </c>
      <c r="J14" s="101">
        <f t="shared" si="6"/>
        <v>0</v>
      </c>
      <c r="K14" s="102">
        <f t="shared" si="7"/>
        <v>0</v>
      </c>
      <c r="L14" s="101">
        <f t="shared" si="8"/>
        <v>-4</v>
      </c>
      <c r="M14" s="102">
        <f t="shared" si="9"/>
        <v>0</v>
      </c>
      <c r="N14" s="101">
        <f t="shared" si="10"/>
        <v>0</v>
      </c>
      <c r="O14" s="102">
        <f t="shared" si="11"/>
        <v>0</v>
      </c>
      <c r="P14" s="101">
        <f t="shared" si="12"/>
        <v>0</v>
      </c>
      <c r="Q14" s="102">
        <f t="shared" si="13"/>
        <v>1</v>
      </c>
      <c r="R14" s="101">
        <f t="shared" si="14"/>
        <v>-1</v>
      </c>
      <c r="S14" s="102">
        <f t="shared" si="15"/>
        <v>1</v>
      </c>
      <c r="T14" s="101">
        <f t="shared" si="16"/>
        <v>0</v>
      </c>
      <c r="U14" s="102">
        <f t="shared" si="17"/>
        <v>0</v>
      </c>
      <c r="V14" s="101">
        <f t="shared" si="18"/>
        <v>0</v>
      </c>
      <c r="W14" s="102">
        <f t="shared" si="19"/>
        <v>0</v>
      </c>
    </row>
    <row r="15" spans="1:25" ht="23.4" customHeight="1" x14ac:dyDescent="0.3">
      <c r="A15" s="98" t="s">
        <v>38</v>
      </c>
      <c r="B15" s="99">
        <v>3</v>
      </c>
      <c r="C15" s="100" t="s">
        <v>34</v>
      </c>
      <c r="D15" s="102">
        <f t="shared" si="0"/>
        <v>0</v>
      </c>
      <c r="E15" s="102">
        <f t="shared" si="1"/>
        <v>0</v>
      </c>
      <c r="F15" s="101">
        <f t="shared" si="2"/>
        <v>0</v>
      </c>
      <c r="G15" s="102">
        <f t="shared" si="3"/>
        <v>0</v>
      </c>
      <c r="H15" s="101">
        <f t="shared" si="4"/>
        <v>0</v>
      </c>
      <c r="I15" s="102">
        <f t="shared" si="5"/>
        <v>0</v>
      </c>
      <c r="J15" s="101">
        <f t="shared" si="6"/>
        <v>0</v>
      </c>
      <c r="K15" s="102">
        <f t="shared" si="7"/>
        <v>0</v>
      </c>
      <c r="L15" s="101">
        <f t="shared" si="8"/>
        <v>-3</v>
      </c>
      <c r="M15" s="102">
        <f t="shared" si="9"/>
        <v>0</v>
      </c>
      <c r="N15" s="101">
        <f t="shared" si="10"/>
        <v>0</v>
      </c>
      <c r="O15" s="102">
        <f t="shared" si="11"/>
        <v>0</v>
      </c>
      <c r="P15" s="101">
        <f t="shared" si="12"/>
        <v>0</v>
      </c>
      <c r="Q15" s="102">
        <f t="shared" si="13"/>
        <v>0</v>
      </c>
      <c r="R15" s="101">
        <f t="shared" si="14"/>
        <v>-2</v>
      </c>
      <c r="S15" s="102">
        <f t="shared" si="15"/>
        <v>0</v>
      </c>
      <c r="T15" s="101">
        <f t="shared" si="16"/>
        <v>0</v>
      </c>
      <c r="U15" s="102">
        <f t="shared" si="17"/>
        <v>1</v>
      </c>
      <c r="V15" s="101">
        <f t="shared" si="18"/>
        <v>0</v>
      </c>
      <c r="W15" s="102">
        <f t="shared" si="19"/>
        <v>1</v>
      </c>
    </row>
    <row r="16" spans="1:25" ht="23.4" customHeight="1" x14ac:dyDescent="0.3">
      <c r="A16" s="98" t="s">
        <v>39</v>
      </c>
      <c r="B16" s="99">
        <v>4</v>
      </c>
      <c r="C16" s="100" t="s">
        <v>34</v>
      </c>
      <c r="D16" s="102">
        <f t="shared" si="0"/>
        <v>0</v>
      </c>
      <c r="E16" s="102">
        <f t="shared" si="1"/>
        <v>0</v>
      </c>
      <c r="F16" s="101">
        <f t="shared" si="2"/>
        <v>0</v>
      </c>
      <c r="G16" s="102">
        <f t="shared" si="3"/>
        <v>0</v>
      </c>
      <c r="H16" s="101">
        <f t="shared" si="4"/>
        <v>0</v>
      </c>
      <c r="I16" s="102">
        <f t="shared" si="5"/>
        <v>0</v>
      </c>
      <c r="J16" s="101">
        <f t="shared" si="6"/>
        <v>0</v>
      </c>
      <c r="K16" s="102">
        <f t="shared" si="7"/>
        <v>0</v>
      </c>
      <c r="L16" s="101">
        <f t="shared" si="8"/>
        <v>0</v>
      </c>
      <c r="M16" s="102">
        <f t="shared" si="9"/>
        <v>0</v>
      </c>
      <c r="N16" s="101">
        <f t="shared" si="10"/>
        <v>-1</v>
      </c>
      <c r="O16" s="102">
        <f t="shared" si="11"/>
        <v>0</v>
      </c>
      <c r="P16" s="101">
        <f t="shared" si="12"/>
        <v>0</v>
      </c>
      <c r="Q16" s="102">
        <f t="shared" si="13"/>
        <v>1</v>
      </c>
      <c r="R16" s="101">
        <f t="shared" si="14"/>
        <v>-1</v>
      </c>
      <c r="S16" s="102">
        <f t="shared" si="15"/>
        <v>0</v>
      </c>
      <c r="T16" s="101">
        <f t="shared" si="16"/>
        <v>0</v>
      </c>
      <c r="U16" s="102">
        <f t="shared" si="17"/>
        <v>1</v>
      </c>
      <c r="V16" s="101">
        <f t="shared" si="18"/>
        <v>-1</v>
      </c>
      <c r="W16" s="102">
        <f t="shared" si="19"/>
        <v>1</v>
      </c>
    </row>
    <row r="17" spans="1:23" ht="23.4" customHeight="1" x14ac:dyDescent="0.3">
      <c r="A17" s="98" t="s">
        <v>89</v>
      </c>
      <c r="B17" s="99">
        <v>4</v>
      </c>
      <c r="C17" s="100" t="s">
        <v>34</v>
      </c>
      <c r="D17" s="102">
        <f t="shared" si="0"/>
        <v>0</v>
      </c>
      <c r="E17" s="102">
        <f t="shared" si="1"/>
        <v>0</v>
      </c>
      <c r="F17" s="101">
        <f t="shared" si="2"/>
        <v>0</v>
      </c>
      <c r="G17" s="102">
        <f t="shared" si="3"/>
        <v>0</v>
      </c>
      <c r="H17" s="101">
        <f t="shared" si="4"/>
        <v>0</v>
      </c>
      <c r="I17" s="102">
        <f t="shared" si="5"/>
        <v>0</v>
      </c>
      <c r="J17" s="101">
        <f t="shared" si="6"/>
        <v>0</v>
      </c>
      <c r="K17" s="102">
        <f t="shared" si="7"/>
        <v>0</v>
      </c>
      <c r="L17" s="101">
        <f t="shared" si="8"/>
        <v>-2</v>
      </c>
      <c r="M17" s="102">
        <f t="shared" si="9"/>
        <v>0</v>
      </c>
      <c r="N17" s="101">
        <f t="shared" si="10"/>
        <v>0</v>
      </c>
      <c r="O17" s="102">
        <f t="shared" si="11"/>
        <v>0</v>
      </c>
      <c r="P17" s="101">
        <f t="shared" si="12"/>
        <v>0</v>
      </c>
      <c r="Q17" s="102">
        <f t="shared" si="13"/>
        <v>0</v>
      </c>
      <c r="R17" s="101">
        <f t="shared" si="14"/>
        <v>-4</v>
      </c>
      <c r="S17" s="102">
        <f t="shared" si="15"/>
        <v>0</v>
      </c>
      <c r="T17" s="101">
        <f t="shared" si="16"/>
        <v>-1</v>
      </c>
      <c r="U17" s="102">
        <f t="shared" si="17"/>
        <v>1</v>
      </c>
      <c r="V17" s="101">
        <f t="shared" si="18"/>
        <v>0</v>
      </c>
      <c r="W17" s="102">
        <f t="shared" si="19"/>
        <v>2</v>
      </c>
    </row>
    <row r="18" spans="1:23" ht="23.4" customHeight="1" x14ac:dyDescent="0.3">
      <c r="A18" s="98" t="s">
        <v>40</v>
      </c>
      <c r="B18" s="99">
        <v>4</v>
      </c>
      <c r="C18" s="100" t="s">
        <v>34</v>
      </c>
      <c r="D18" s="102">
        <f t="shared" si="0"/>
        <v>0</v>
      </c>
      <c r="E18" s="102">
        <f t="shared" si="1"/>
        <v>0</v>
      </c>
      <c r="F18" s="101">
        <f t="shared" si="2"/>
        <v>0</v>
      </c>
      <c r="G18" s="102">
        <f t="shared" si="3"/>
        <v>0</v>
      </c>
      <c r="H18" s="101">
        <f t="shared" si="4"/>
        <v>0</v>
      </c>
      <c r="I18" s="102">
        <f t="shared" si="5"/>
        <v>0</v>
      </c>
      <c r="J18" s="101">
        <f t="shared" si="6"/>
        <v>0</v>
      </c>
      <c r="K18" s="102">
        <f t="shared" si="7"/>
        <v>0</v>
      </c>
      <c r="L18" s="101">
        <f t="shared" si="8"/>
        <v>-2</v>
      </c>
      <c r="M18" s="102">
        <f t="shared" si="9"/>
        <v>0</v>
      </c>
      <c r="N18" s="101">
        <f t="shared" si="10"/>
        <v>0</v>
      </c>
      <c r="O18" s="102">
        <f t="shared" si="11"/>
        <v>0</v>
      </c>
      <c r="P18" s="101">
        <f t="shared" si="12"/>
        <v>0</v>
      </c>
      <c r="Q18" s="102">
        <f t="shared" si="13"/>
        <v>0</v>
      </c>
      <c r="R18" s="101">
        <f t="shared" si="14"/>
        <v>-2</v>
      </c>
      <c r="S18" s="102">
        <f t="shared" si="15"/>
        <v>0</v>
      </c>
      <c r="T18" s="101">
        <f t="shared" si="16"/>
        <v>-2</v>
      </c>
      <c r="U18" s="102">
        <f t="shared" si="17"/>
        <v>4</v>
      </c>
      <c r="V18" s="101">
        <f t="shared" si="18"/>
        <v>0</v>
      </c>
      <c r="W18" s="102">
        <f t="shared" si="19"/>
        <v>2</v>
      </c>
    </row>
    <row r="19" spans="1:23" ht="23.4" customHeight="1" x14ac:dyDescent="0.3">
      <c r="A19" s="103" t="s">
        <v>41</v>
      </c>
      <c r="B19" s="104">
        <v>4</v>
      </c>
      <c r="C19" s="105" t="s">
        <v>14</v>
      </c>
      <c r="D19" s="107">
        <f t="shared" si="0"/>
        <v>0</v>
      </c>
      <c r="E19" s="107">
        <f t="shared" si="1"/>
        <v>0</v>
      </c>
      <c r="F19" s="106">
        <f t="shared" si="2"/>
        <v>0</v>
      </c>
      <c r="G19" s="107">
        <f t="shared" si="3"/>
        <v>0</v>
      </c>
      <c r="H19" s="106">
        <f t="shared" si="4"/>
        <v>0</v>
      </c>
      <c r="I19" s="107">
        <f t="shared" si="5"/>
        <v>1</v>
      </c>
      <c r="J19" s="106">
        <f t="shared" si="6"/>
        <v>0</v>
      </c>
      <c r="K19" s="107">
        <f t="shared" si="7"/>
        <v>1</v>
      </c>
      <c r="L19" s="106">
        <f t="shared" si="8"/>
        <v>-1</v>
      </c>
      <c r="M19" s="107">
        <f t="shared" si="9"/>
        <v>0</v>
      </c>
      <c r="N19" s="106">
        <f t="shared" si="10"/>
        <v>0</v>
      </c>
      <c r="O19" s="107">
        <f t="shared" si="11"/>
        <v>0</v>
      </c>
      <c r="P19" s="106">
        <f t="shared" si="12"/>
        <v>0</v>
      </c>
      <c r="Q19" s="107">
        <f t="shared" si="13"/>
        <v>0</v>
      </c>
      <c r="R19" s="106">
        <f t="shared" si="14"/>
        <v>0</v>
      </c>
      <c r="S19" s="107">
        <f t="shared" si="15"/>
        <v>0</v>
      </c>
      <c r="T19" s="106">
        <f t="shared" si="16"/>
        <v>0</v>
      </c>
      <c r="U19" s="107">
        <f t="shared" si="17"/>
        <v>0</v>
      </c>
      <c r="V19" s="106">
        <f t="shared" si="18"/>
        <v>0</v>
      </c>
      <c r="W19" s="107">
        <f t="shared" si="19"/>
        <v>0</v>
      </c>
    </row>
    <row r="20" spans="1:23" x14ac:dyDescent="0.3">
      <c r="C20" s="3"/>
      <c r="D20" s="10"/>
      <c r="E20" s="10"/>
      <c r="F20" s="10"/>
      <c r="G20" s="10"/>
      <c r="H20" s="10"/>
      <c r="I20"/>
      <c r="J20"/>
      <c r="K20" s="10"/>
      <c r="L20" s="10"/>
      <c r="M20" s="10"/>
      <c r="N20" s="10"/>
      <c r="O20" s="10"/>
      <c r="P20" s="10"/>
      <c r="Q20" s="10"/>
      <c r="R20" s="10"/>
      <c r="S20" s="10"/>
      <c r="T20" s="10"/>
      <c r="U20" s="10"/>
      <c r="V20" s="10"/>
      <c r="W20" s="10"/>
    </row>
    <row r="21" spans="1:23" x14ac:dyDescent="0.3">
      <c r="C21" s="3"/>
      <c r="D21" s="10"/>
      <c r="E21" s="10"/>
      <c r="F21" s="10"/>
      <c r="G21" s="10"/>
      <c r="H21" s="10"/>
      <c r="I21" s="10"/>
      <c r="J21" s="10"/>
      <c r="K21" s="10"/>
      <c r="L21" s="10"/>
      <c r="M21" s="10"/>
      <c r="N21" s="10"/>
      <c r="O21" s="10"/>
      <c r="P21" s="10"/>
      <c r="Q21" s="10"/>
      <c r="R21" s="10"/>
      <c r="S21" s="10"/>
      <c r="T21" s="10"/>
      <c r="U21" s="10"/>
      <c r="V21" s="10"/>
      <c r="W21" s="10"/>
    </row>
    <row r="22" spans="1:23" x14ac:dyDescent="0.3">
      <c r="C22" s="3"/>
      <c r="D22" s="10"/>
      <c r="E22" s="10"/>
      <c r="F22" s="10"/>
      <c r="G22" s="10"/>
      <c r="H22" s="10"/>
      <c r="I22" s="10"/>
      <c r="J22" s="10"/>
      <c r="K22" s="10"/>
      <c r="L22" s="10"/>
      <c r="M22" s="10"/>
      <c r="N22" s="10"/>
      <c r="O22" s="10"/>
      <c r="P22" s="10"/>
      <c r="Q22" s="10"/>
      <c r="R22" s="10"/>
      <c r="S22" s="10"/>
      <c r="T22" s="10"/>
      <c r="U22" s="10"/>
      <c r="V22" s="10"/>
      <c r="W22" s="10"/>
    </row>
    <row r="23" spans="1:23" x14ac:dyDescent="0.3">
      <c r="C23" s="3"/>
      <c r="D23" s="10"/>
      <c r="E23" s="10"/>
      <c r="F23" s="10"/>
      <c r="G23" s="10"/>
      <c r="H23" s="10"/>
      <c r="I23" s="10"/>
      <c r="J23" s="10"/>
      <c r="K23" s="10"/>
      <c r="L23" s="10"/>
      <c r="M23" s="10"/>
      <c r="N23" s="10"/>
      <c r="O23" s="10"/>
      <c r="P23" s="10"/>
      <c r="Q23" s="10"/>
      <c r="R23" s="10"/>
      <c r="S23" s="10"/>
      <c r="T23" s="10"/>
      <c r="U23" s="10"/>
      <c r="V23" s="10"/>
      <c r="W23" s="10"/>
    </row>
    <row r="24" spans="1:23" x14ac:dyDescent="0.3">
      <c r="C24" s="3"/>
      <c r="D24" s="10"/>
      <c r="E24" s="10"/>
      <c r="F24" s="10"/>
      <c r="G24" s="10"/>
      <c r="H24" s="10"/>
      <c r="I24" s="10"/>
      <c r="J24" s="10"/>
      <c r="K24" s="10"/>
      <c r="L24" s="10"/>
      <c r="M24" s="10"/>
      <c r="N24" s="10"/>
      <c r="O24" s="10"/>
      <c r="P24" s="10"/>
      <c r="Q24" s="10"/>
      <c r="R24" s="10"/>
      <c r="S24" s="10"/>
      <c r="T24" s="10"/>
      <c r="U24" s="10"/>
      <c r="V24" s="10"/>
      <c r="W24" s="10"/>
    </row>
    <row r="25" spans="1:23" x14ac:dyDescent="0.3">
      <c r="C25" s="3"/>
      <c r="D25" s="10"/>
      <c r="E25" s="10"/>
      <c r="F25" s="10"/>
      <c r="G25" s="10"/>
      <c r="H25" s="10"/>
      <c r="I25" s="10"/>
      <c r="J25" s="10"/>
      <c r="K25" s="10"/>
      <c r="L25" s="10"/>
      <c r="M25" s="10"/>
      <c r="N25" s="10"/>
      <c r="O25" s="10"/>
      <c r="P25" s="10"/>
      <c r="Q25" s="10"/>
      <c r="R25" s="10"/>
      <c r="S25" s="10"/>
      <c r="T25" s="10"/>
      <c r="U25" s="10"/>
      <c r="V25" s="10"/>
      <c r="W25" s="10"/>
    </row>
    <row r="26" spans="1:23" x14ac:dyDescent="0.3">
      <c r="C26" s="3"/>
    </row>
    <row r="27" spans="1:23" x14ac:dyDescent="0.3">
      <c r="C27" s="3"/>
    </row>
  </sheetData>
  <sheetProtection formatColumns="0" formatRows="0"/>
  <autoFilter ref="A8:B19"/>
  <mergeCells count="26">
    <mergeCell ref="N8:O8"/>
    <mergeCell ref="R8:S8"/>
    <mergeCell ref="V8:W8"/>
    <mergeCell ref="T8:U8"/>
    <mergeCell ref="P8:Q8"/>
    <mergeCell ref="D8:E8"/>
    <mergeCell ref="F8:G8"/>
    <mergeCell ref="H8:I8"/>
    <mergeCell ref="J8:K8"/>
    <mergeCell ref="L8:M8"/>
    <mergeCell ref="D7:Q7"/>
    <mergeCell ref="I2:J2"/>
    <mergeCell ref="N2:O2"/>
    <mergeCell ref="R7:W7"/>
    <mergeCell ref="I4:J4"/>
    <mergeCell ref="N4:O4"/>
    <mergeCell ref="S4:T4"/>
    <mergeCell ref="F4:H4"/>
    <mergeCell ref="K4:M4"/>
    <mergeCell ref="P4:R4"/>
    <mergeCell ref="A2:C2"/>
    <mergeCell ref="S2:T2"/>
    <mergeCell ref="D2:E2"/>
    <mergeCell ref="F2:H2"/>
    <mergeCell ref="K2:M2"/>
    <mergeCell ref="P2:R2"/>
  </mergeCells>
  <conditionalFormatting sqref="D9:O9 R9:W9">
    <cfRule type="cellIs" dxfId="36" priority="42" operator="greaterThan">
      <formula>2</formula>
    </cfRule>
    <cfRule type="cellIs" dxfId="35" priority="43" operator="equal">
      <formula>2</formula>
    </cfRule>
    <cfRule type="cellIs" dxfId="34" priority="44" operator="equal">
      <formula>1</formula>
    </cfRule>
    <cfRule type="cellIs" dxfId="33" priority="45" operator="lessThan">
      <formula>-2</formula>
    </cfRule>
    <cfRule type="cellIs" dxfId="32" priority="46" operator="equal">
      <formula>-2</formula>
    </cfRule>
    <cfRule type="cellIs" dxfId="31" priority="47" operator="equal">
      <formula>-1</formula>
    </cfRule>
  </conditionalFormatting>
  <conditionalFormatting sqref="P9:Q9">
    <cfRule type="cellIs" dxfId="30" priority="36" operator="greaterThan">
      <formula>2</formula>
    </cfRule>
    <cfRule type="cellIs" dxfId="29" priority="37" operator="equal">
      <formula>2</formula>
    </cfRule>
    <cfRule type="cellIs" dxfId="28" priority="38" operator="equal">
      <formula>1</formula>
    </cfRule>
    <cfRule type="cellIs" dxfId="27" priority="39" operator="lessThan">
      <formula>-2</formula>
    </cfRule>
    <cfRule type="cellIs" dxfId="26" priority="40" operator="equal">
      <formula>-2</formula>
    </cfRule>
    <cfRule type="cellIs" dxfId="25" priority="41" operator="equal">
      <formula>-1</formula>
    </cfRule>
  </conditionalFormatting>
  <conditionalFormatting sqref="B9:B19">
    <cfRule type="iconSet" priority="23">
      <iconSet iconSet="5Quarters" showValue="0" reverse="1">
        <cfvo type="percent" val="0"/>
        <cfvo type="num" val="2"/>
        <cfvo type="num" val="3"/>
        <cfvo type="num" val="4"/>
        <cfvo type="num" val="4" gte="0"/>
      </iconSet>
    </cfRule>
  </conditionalFormatting>
  <conditionalFormatting sqref="D10:O19 R10:W19">
    <cfRule type="cellIs" dxfId="24" priority="17" operator="greaterThan">
      <formula>2</formula>
    </cfRule>
    <cfRule type="cellIs" dxfId="23" priority="18" operator="equal">
      <formula>2</formula>
    </cfRule>
    <cfRule type="cellIs" dxfId="22" priority="19" operator="equal">
      <formula>1</formula>
    </cfRule>
    <cfRule type="cellIs" dxfId="21" priority="20" operator="lessThan">
      <formula>-2</formula>
    </cfRule>
    <cfRule type="cellIs" dxfId="20" priority="21" operator="equal">
      <formula>-2</formula>
    </cfRule>
    <cfRule type="cellIs" dxfId="19" priority="22" operator="equal">
      <formula>-1</formula>
    </cfRule>
  </conditionalFormatting>
  <conditionalFormatting sqref="P10:Q19">
    <cfRule type="cellIs" dxfId="18" priority="11" operator="greaterThan">
      <formula>2</formula>
    </cfRule>
    <cfRule type="cellIs" dxfId="17" priority="12" operator="equal">
      <formula>2</formula>
    </cfRule>
    <cfRule type="cellIs" dxfId="16" priority="13" operator="equal">
      <formula>1</formula>
    </cfRule>
    <cfRule type="cellIs" dxfId="15" priority="14" operator="lessThan">
      <formula>-2</formula>
    </cfRule>
    <cfRule type="cellIs" dxfId="14" priority="15" operator="equal">
      <formula>-2</formula>
    </cfRule>
    <cfRule type="cellIs" dxfId="13" priority="16" operator="equal">
      <formula>-1</formula>
    </cfRule>
  </conditionalFormatting>
  <dataValidations count="7">
    <dataValidation type="list" showInputMessage="1" showErrorMessage="1" sqref="D2:E2">
      <formula1>Display</formula1>
    </dataValidation>
    <dataValidation type="list" allowBlank="1" showInputMessage="1" showErrorMessage="1" sqref="I2:J2">
      <formula1>Scen1</formula1>
    </dataValidation>
    <dataValidation type="list" allowBlank="1" showInputMessage="1" showErrorMessage="1" sqref="N2:O2">
      <formula1>Scen2</formula1>
    </dataValidation>
    <dataValidation type="list" allowBlank="1" showInputMessage="1" showErrorMessage="1" sqref="S2:T2">
      <formula1>Scen3</formula1>
    </dataValidation>
    <dataValidation type="list" allowBlank="1" showInputMessage="1" showErrorMessage="1" sqref="I4:J4">
      <formula1>Scen4</formula1>
    </dataValidation>
    <dataValidation type="list" allowBlank="1" showInputMessage="1" showErrorMessage="1" sqref="N4:O4">
      <formula1>Scen5</formula1>
    </dataValidation>
    <dataValidation type="list" allowBlank="1" showInputMessage="1" showErrorMessage="1" sqref="S4:T4">
      <formula1>Scen6</formula1>
    </dataValidation>
  </dataValidations>
  <hyperlinks>
    <hyperlink ref="D8:E8" location="Stakeholders!D8" display="Safety"/>
    <hyperlink ref="F8:G8" location="Stakeholders!F8" display="Care"/>
    <hyperlink ref="H8:I8" location="Stakeholders!H8" display="Autonomy"/>
    <hyperlink ref="J8:K8" location="Stakeholders!J8" display="Participation"/>
    <hyperlink ref="L8:M8" location="Stakeholders!L8" display="Privacy"/>
    <hyperlink ref="N8:O8" location="Stakeholders!N8" display="Fairness"/>
    <hyperlink ref="P8:Q8" location="Stakeholders!P8" display="Self-Conception"/>
    <hyperlink ref="R8:S8" location="Stakeholders!R8" display="Liability"/>
    <hyperlink ref="T8:U8" location="Stakeholders!T8" display="Profitability"/>
    <hyperlink ref="V8:W8" location="Stakeholders!V8" display="Opportunity"/>
  </hyperlinks>
  <pageMargins left="0.7" right="0.7" top="0.75" bottom="0.75" header="0.3" footer="0.3"/>
  <pageSetup paperSize="9" orientation="portrait" horizontalDpi="4294967293" r:id="rId1"/>
  <ignoredErrors>
    <ignoredError sqref="H9:W1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64" r:id="rId4" name="Button 16">
              <controlPr defaultSize="0" print="0" autoFill="0" autoPict="0" macro="[0]!ST_Show_All_Dimensions">
                <anchor moveWithCells="1" sizeWithCells="1">
                  <from>
                    <xdr:col>3</xdr:col>
                    <xdr:colOff>137160</xdr:colOff>
                    <xdr:row>6</xdr:row>
                    <xdr:rowOff>22860</xdr:rowOff>
                  </from>
                  <to>
                    <xdr:col>4</xdr:col>
                    <xdr:colOff>30480</xdr:colOff>
                    <xdr:row>6</xdr:row>
                    <xdr:rowOff>152400</xdr:rowOff>
                  </to>
                </anchor>
              </controlPr>
            </control>
          </mc:Choice>
        </mc:AlternateContent>
        <mc:AlternateContent xmlns:mc="http://schemas.openxmlformats.org/markup-compatibility/2006">
          <mc:Choice Requires="x14">
            <control shapeId="2065" r:id="rId5" name="Button 17">
              <controlPr defaultSize="0" print="0" autoFill="0" autoPict="0" macro="[0]!ST_Show_No_Dimensions">
                <anchor moveWithCells="1" sizeWithCells="1">
                  <from>
                    <xdr:col>4</xdr:col>
                    <xdr:colOff>106680</xdr:colOff>
                    <xdr:row>6</xdr:row>
                    <xdr:rowOff>22860</xdr:rowOff>
                  </from>
                  <to>
                    <xdr:col>4</xdr:col>
                    <xdr:colOff>441960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0E39CDBC-A686-4809-8D3F-7E1E4A506E94}">
            <xm:f>NOT(_Param!$V$2)</xm:f>
            <x14:dxf>
              <font>
                <color theme="0" tint="-0.499984740745262"/>
              </font>
              <fill>
                <patternFill>
                  <bgColor theme="0"/>
                </patternFill>
              </fill>
            </x14:dxf>
          </x14:cfRule>
          <xm:sqref>D8:E8</xm:sqref>
        </x14:conditionalFormatting>
        <x14:conditionalFormatting xmlns:xm="http://schemas.microsoft.com/office/excel/2006/main">
          <x14:cfRule type="expression" priority="9" id="{2BDD756B-AB8F-4E85-BAB6-A85CEB51E5CB}">
            <xm:f>NOT(_Param!$W$2)</xm:f>
            <x14:dxf>
              <font>
                <color theme="0" tint="-0.499984740745262"/>
              </font>
              <fill>
                <patternFill>
                  <bgColor theme="0"/>
                </patternFill>
              </fill>
            </x14:dxf>
          </x14:cfRule>
          <xm:sqref>F8:G8</xm:sqref>
        </x14:conditionalFormatting>
        <x14:conditionalFormatting xmlns:xm="http://schemas.microsoft.com/office/excel/2006/main">
          <x14:cfRule type="expression" priority="8" id="{4BC47981-9DB3-4273-AA3C-E7D31FC14C43}">
            <xm:f>NOT(_Param!$X$2)</xm:f>
            <x14:dxf>
              <font>
                <color theme="0" tint="-0.499984740745262"/>
              </font>
              <fill>
                <patternFill>
                  <bgColor theme="0"/>
                </patternFill>
              </fill>
            </x14:dxf>
          </x14:cfRule>
          <xm:sqref>H8:I8</xm:sqref>
        </x14:conditionalFormatting>
        <x14:conditionalFormatting xmlns:xm="http://schemas.microsoft.com/office/excel/2006/main">
          <x14:cfRule type="expression" priority="7" id="{F4DBAB6A-AACA-4D21-991C-CDFC9BE14820}">
            <xm:f>NOT(_Param!$Y$2)</xm:f>
            <x14:dxf>
              <font>
                <color theme="0" tint="-0.499984740745262"/>
              </font>
              <fill>
                <patternFill>
                  <bgColor theme="0"/>
                </patternFill>
              </fill>
            </x14:dxf>
          </x14:cfRule>
          <xm:sqref>J8:K8</xm:sqref>
        </x14:conditionalFormatting>
        <x14:conditionalFormatting xmlns:xm="http://schemas.microsoft.com/office/excel/2006/main">
          <x14:cfRule type="expression" priority="6" id="{1D756636-F731-4EF9-A2E0-5BDA9A8415A4}">
            <xm:f>NOT(_Param!$Z$2)</xm:f>
            <x14:dxf>
              <font>
                <color theme="0" tint="-0.499984740745262"/>
              </font>
              <fill>
                <patternFill>
                  <bgColor theme="0"/>
                </patternFill>
              </fill>
            </x14:dxf>
          </x14:cfRule>
          <xm:sqref>L8:M8</xm:sqref>
        </x14:conditionalFormatting>
        <x14:conditionalFormatting xmlns:xm="http://schemas.microsoft.com/office/excel/2006/main">
          <x14:cfRule type="expression" priority="5" id="{CA37D8A2-7A1E-4C5F-BA77-571E80DC377B}">
            <xm:f>NOT(_Param!$AA$2)</xm:f>
            <x14:dxf>
              <font>
                <color theme="0" tint="-0.499984740745262"/>
              </font>
              <fill>
                <patternFill>
                  <bgColor theme="0"/>
                </patternFill>
              </fill>
            </x14:dxf>
          </x14:cfRule>
          <xm:sqref>N8:O8</xm:sqref>
        </x14:conditionalFormatting>
        <x14:conditionalFormatting xmlns:xm="http://schemas.microsoft.com/office/excel/2006/main">
          <x14:cfRule type="expression" priority="4" id="{D0CE8BC6-1873-4CAF-9241-C55758EF7B13}">
            <xm:f>NOT(_Param!$AB$2)</xm:f>
            <x14:dxf>
              <font>
                <color theme="0" tint="-0.499984740745262"/>
              </font>
              <fill>
                <patternFill>
                  <bgColor theme="0"/>
                </patternFill>
              </fill>
            </x14:dxf>
          </x14:cfRule>
          <xm:sqref>P8:Q8</xm:sqref>
        </x14:conditionalFormatting>
        <x14:conditionalFormatting xmlns:xm="http://schemas.microsoft.com/office/excel/2006/main">
          <x14:cfRule type="expression" priority="3" id="{7C4295B7-97E4-4DF3-848D-1948620124CA}">
            <xm:f>NOT(_Param!$AC$2)</xm:f>
            <x14:dxf>
              <font>
                <color theme="0" tint="-0.499984740745262"/>
              </font>
              <fill>
                <patternFill>
                  <bgColor theme="0"/>
                </patternFill>
              </fill>
            </x14:dxf>
          </x14:cfRule>
          <xm:sqref>R8:S8</xm:sqref>
        </x14:conditionalFormatting>
        <x14:conditionalFormatting xmlns:xm="http://schemas.microsoft.com/office/excel/2006/main">
          <x14:cfRule type="expression" priority="2" id="{5ECC5881-FFB0-4296-AEA1-524B46D1042A}">
            <xm:f>NOT(_Param!$AD$2)</xm:f>
            <x14:dxf>
              <font>
                <color theme="0" tint="-0.499984740745262"/>
              </font>
              <fill>
                <patternFill>
                  <bgColor theme="0"/>
                </patternFill>
              </fill>
            </x14:dxf>
          </x14:cfRule>
          <xm:sqref>T8:U8</xm:sqref>
        </x14:conditionalFormatting>
        <x14:conditionalFormatting xmlns:xm="http://schemas.microsoft.com/office/excel/2006/main">
          <x14:cfRule type="expression" priority="1" id="{7338D8D4-3257-4CF1-8296-D3F259CB0E84}">
            <xm:f>NOT(_Param!$AE$2)</xm:f>
            <x14:dxf>
              <font>
                <color theme="0" tint="-0.499984740745262"/>
              </font>
              <fill>
                <patternFill>
                  <bgColor theme="0"/>
                </patternFill>
              </fill>
            </x14:dxf>
          </x14:cfRule>
          <xm:sqref>V8:W8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M170"/>
  <sheetViews>
    <sheetView zoomScaleNormal="100" workbookViewId="0">
      <pane xSplit="7" ySplit="1" topLeftCell="H62" activePane="bottomRight" state="frozen"/>
      <selection pane="topRight" activeCell="H1" sqref="H1"/>
      <selection pane="bottomLeft" activeCell="A2" sqref="A2"/>
      <selection pane="bottomRight" activeCell="B2" sqref="B2"/>
    </sheetView>
  </sheetViews>
  <sheetFormatPr baseColWidth="10" defaultRowHeight="14.4" x14ac:dyDescent="0.3"/>
  <cols>
    <col min="1" max="1" width="6.33203125" style="1" customWidth="1"/>
    <col min="2" max="2" width="7.109375" style="1" customWidth="1"/>
    <col min="3" max="3" width="14.88671875" style="1" customWidth="1"/>
    <col min="4" max="4" width="15.44140625" style="1" customWidth="1"/>
    <col min="5" max="5" width="27.88671875" style="1" customWidth="1"/>
    <col min="6" max="6" width="15" style="1" customWidth="1"/>
    <col min="7" max="7" width="6.5546875" style="7" customWidth="1"/>
    <col min="8" max="8" width="110.44140625" style="1" customWidth="1"/>
    <col min="9" max="10" width="8.77734375" style="1" customWidth="1"/>
    <col min="11" max="12" width="10.109375" style="7" customWidth="1"/>
    <col min="13" max="13" width="9.21875" style="7" customWidth="1"/>
    <col min="14" max="16384" width="11.5546875" style="1"/>
  </cols>
  <sheetData>
    <row r="1" spans="1:13" ht="29.4" thickBot="1" x14ac:dyDescent="0.35">
      <c r="A1" s="44" t="s">
        <v>30</v>
      </c>
      <c r="B1" s="44" t="s">
        <v>53</v>
      </c>
      <c r="C1" s="44" t="s">
        <v>75</v>
      </c>
      <c r="D1" s="44" t="s">
        <v>76</v>
      </c>
      <c r="E1" s="44" t="s">
        <v>32</v>
      </c>
      <c r="F1" s="44" t="s">
        <v>52</v>
      </c>
      <c r="G1" s="45" t="s">
        <v>31</v>
      </c>
      <c r="H1" s="44" t="s">
        <v>62</v>
      </c>
      <c r="I1" s="1" t="s">
        <v>239</v>
      </c>
      <c r="J1" s="1" t="s">
        <v>240</v>
      </c>
      <c r="K1" s="7" t="s">
        <v>241</v>
      </c>
      <c r="L1" s="7" t="s">
        <v>246</v>
      </c>
      <c r="M1" s="7" t="s">
        <v>243</v>
      </c>
    </row>
    <row r="2" spans="1:13" ht="29.4" thickTop="1" x14ac:dyDescent="0.3">
      <c r="A2" s="1" t="str">
        <f>IF(ISBLANK(G2),"",IF(G2&gt;0,"G","R")&amp;TEXT(ROW()-1,"00"))</f>
        <v>R01</v>
      </c>
      <c r="B2" s="1" t="str">
        <f>IF(LEN(A2)&gt;0,VLOOKUP(MID(A2,1,1),Abbreviations,2,FALSE),"")</f>
        <v>Risk</v>
      </c>
      <c r="C2" s="73"/>
      <c r="D2" s="73"/>
      <c r="E2" s="1" t="s">
        <v>51</v>
      </c>
      <c r="F2" s="1" t="s">
        <v>2</v>
      </c>
      <c r="G2" s="10">
        <v>-1</v>
      </c>
      <c r="H2" s="8" t="s">
        <v>292</v>
      </c>
      <c r="I2" s="1" t="b">
        <f t="shared" ref="I2:I33" si="0">IF(ISBLANK(C2),TRUE,VLOOKUP(C2,Scens_With_All_Data,4,FALSE))</f>
        <v>1</v>
      </c>
      <c r="J2" s="1" t="b">
        <f t="shared" ref="J2:J33" si="1">IF(ISBLANK(D2),TRUE,VLOOKUP(D2,Scens_With_All_Data,4,FALSE))</f>
        <v>1</v>
      </c>
      <c r="K2" s="10">
        <f t="shared" ref="K2" si="2">IF(AND(I2,J2),G2,0)</f>
        <v>-1</v>
      </c>
      <c r="L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2" s="10">
        <f>IF(Stakeholders!$D$2="Potential",K2,
      IF(K2&lt;0,MAX(K2,L2),MAX(MIN(K2,L2),0)))</f>
        <v>-1</v>
      </c>
    </row>
    <row r="3" spans="1:13" ht="28.8" x14ac:dyDescent="0.3">
      <c r="A3" s="1" t="str">
        <f>IF(ISBLANK(G3),"",IF(G3&gt;0,"G","R")&amp;TEXT(ROW()-1,"00"))</f>
        <v>R02</v>
      </c>
      <c r="B3" s="1" t="str">
        <f>IF(LEN(A3)&gt;0,VLOOKUP(MID(A3,1,1),Abbreviations,2,FALSE),"")</f>
        <v>Risk</v>
      </c>
      <c r="C3" s="73" t="s">
        <v>217</v>
      </c>
      <c r="D3" s="73"/>
      <c r="E3" s="1" t="s">
        <v>51</v>
      </c>
      <c r="F3" s="1" t="s">
        <v>2</v>
      </c>
      <c r="G3" s="10">
        <v>-1</v>
      </c>
      <c r="H3" s="8" t="s">
        <v>291</v>
      </c>
      <c r="I3" s="1" t="b">
        <f t="shared" si="0"/>
        <v>1</v>
      </c>
      <c r="J3" s="1" t="b">
        <f t="shared" si="1"/>
        <v>1</v>
      </c>
      <c r="K3" s="10">
        <f t="shared" ref="K3" si="3">IF(AND(I3,J3),G3,0)</f>
        <v>-1</v>
      </c>
      <c r="L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3" s="10">
        <f>IF(Stakeholders!$D$2="Potential",K3,
      IF(K3&lt;0,MAX(K3,L3),MAX(MIN(K3,L3),0)))</f>
        <v>-1</v>
      </c>
    </row>
    <row r="4" spans="1:13" ht="28.8" x14ac:dyDescent="0.3">
      <c r="A4" s="1" t="str">
        <f>IF(ISBLANK(G4),"",IF(G4&gt;0,"G","R")&amp;TEXT(ROW()-1,"00"))</f>
        <v>R03</v>
      </c>
      <c r="B4" s="1" t="str">
        <f>IF(LEN(A4)&gt;0,VLOOKUP(MID(A4,1,1),Abbreviations,2,FALSE),"")</f>
        <v>Risk</v>
      </c>
      <c r="C4" s="73"/>
      <c r="D4" s="73"/>
      <c r="E4" s="1" t="s">
        <v>51</v>
      </c>
      <c r="F4" s="1" t="s">
        <v>2</v>
      </c>
      <c r="G4" s="10">
        <v>-1</v>
      </c>
      <c r="H4" s="8" t="s">
        <v>308</v>
      </c>
      <c r="I4" s="1" t="b">
        <f t="shared" si="0"/>
        <v>1</v>
      </c>
      <c r="J4" s="1" t="b">
        <f t="shared" si="1"/>
        <v>1</v>
      </c>
      <c r="K4" s="10">
        <f t="shared" ref="K4" si="4">IF(AND(I4,J4),G4,0)</f>
        <v>-1</v>
      </c>
      <c r="L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4" s="10">
        <f>IF(Stakeholders!$D$2="Potential",K4,
      IF(K4&lt;0,MAX(K4,L4),MAX(MIN(K4,L4),0)))</f>
        <v>-1</v>
      </c>
    </row>
    <row r="5" spans="1:13" ht="28.8" x14ac:dyDescent="0.3">
      <c r="A5" s="1" t="str">
        <f>IF(ISBLANK(G5),"",IF(G5&gt;0,"G","R")&amp;TEXT(ROW()-1,"00"))</f>
        <v>G04</v>
      </c>
      <c r="B5" s="1" t="str">
        <f>IF(LEN(A5)&gt;0,VLOOKUP(MID(A5,1,1),Abbreviations,2,FALSE),"")</f>
        <v>Goal</v>
      </c>
      <c r="C5" s="73"/>
      <c r="D5" s="73"/>
      <c r="E5" s="1" t="s">
        <v>51</v>
      </c>
      <c r="F5" s="1" t="s">
        <v>2</v>
      </c>
      <c r="G5" s="10">
        <v>1</v>
      </c>
      <c r="H5" s="8" t="s">
        <v>88</v>
      </c>
      <c r="I5" s="1" t="b">
        <f t="shared" si="0"/>
        <v>1</v>
      </c>
      <c r="J5" s="1" t="b">
        <f t="shared" si="1"/>
        <v>1</v>
      </c>
      <c r="K5" s="10">
        <f t="shared" ref="K5:K69" si="5">IF(AND(I5,J5),G5,0)</f>
        <v>1</v>
      </c>
      <c r="L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5" s="10">
        <f>IF(Stakeholders!$D$2="Potential",K5,
      IF(K5&lt;0,MAX(K5,L5),MAX(MIN(K5,L5),0)))</f>
        <v>1</v>
      </c>
    </row>
    <row r="6" spans="1:13" ht="43.2" x14ac:dyDescent="0.3">
      <c r="A6" s="1" t="str">
        <f t="shared" ref="A6" si="6">IF(ISBLANK(G6),"",IF(G6&gt;0,"G","R")&amp;TEXT(ROW()-1,"00"))</f>
        <v>R05</v>
      </c>
      <c r="B6" s="1" t="str">
        <f t="shared" ref="B6" si="7">IF(LEN(A6)&gt;0,VLOOKUP(MID(A6,1,1),Abbreviations,2,FALSE),"")</f>
        <v>Risk</v>
      </c>
      <c r="C6" s="73" t="s">
        <v>215</v>
      </c>
      <c r="D6" s="73"/>
      <c r="E6" s="1" t="s">
        <v>51</v>
      </c>
      <c r="F6" s="1" t="s">
        <v>0</v>
      </c>
      <c r="G6" s="10">
        <v>-1</v>
      </c>
      <c r="H6" s="1" t="s">
        <v>78</v>
      </c>
      <c r="I6" s="1" t="b">
        <f t="shared" si="0"/>
        <v>1</v>
      </c>
      <c r="J6" s="1" t="b">
        <f t="shared" si="1"/>
        <v>1</v>
      </c>
      <c r="K6" s="10">
        <f t="shared" si="5"/>
        <v>-1</v>
      </c>
      <c r="L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6" s="10">
        <f>IF(Stakeholders!$D$2="Potential",K6,
      IF(K6&lt;0,MAX(K6,L6),MAX(MIN(K6,L6),0)))</f>
        <v>-1</v>
      </c>
    </row>
    <row r="7" spans="1:13" ht="43.2" x14ac:dyDescent="0.3">
      <c r="A7" s="1" t="str">
        <f>IF(ISBLANK(G7),"",IF(G7&gt;0,"G","R")&amp;TEXT(ROW()-1,"00"))</f>
        <v>G06</v>
      </c>
      <c r="B7" s="1" t="str">
        <f t="shared" ref="B7:B85" si="8">IF(LEN(A7)&gt;0,VLOOKUP(MID(A7,1,1),Abbreviations,2,FALSE),"")</f>
        <v>Goal</v>
      </c>
      <c r="C7" s="73"/>
      <c r="D7" s="73"/>
      <c r="E7" s="1" t="s">
        <v>51</v>
      </c>
      <c r="F7" s="1" t="s">
        <v>1</v>
      </c>
      <c r="G7" s="10">
        <v>2</v>
      </c>
      <c r="H7" s="11" t="s">
        <v>101</v>
      </c>
      <c r="I7" s="1" t="b">
        <f t="shared" si="0"/>
        <v>1</v>
      </c>
      <c r="J7" s="1" t="b">
        <f t="shared" si="1"/>
        <v>1</v>
      </c>
      <c r="K7" s="10">
        <f t="shared" si="5"/>
        <v>2</v>
      </c>
      <c r="L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2</v>
      </c>
      <c r="M7" s="10">
        <f>IF(Stakeholders!$D$2="Potential",K7,
      IF(K7&lt;0,MAX(K7,L7),MAX(MIN(K7,L7),0)))</f>
        <v>2</v>
      </c>
    </row>
    <row r="8" spans="1:13" ht="43.2" x14ac:dyDescent="0.3">
      <c r="A8" s="1" t="str">
        <f t="shared" ref="A8:A14" si="9">IF(ISBLANK(G8),"",IF(G8&gt;0,"G","R")&amp;TEXT(ROW()-1,"00"))</f>
        <v>R07</v>
      </c>
      <c r="B8" s="1" t="str">
        <f t="shared" si="8"/>
        <v>Risk</v>
      </c>
      <c r="C8" s="73"/>
      <c r="D8" s="73"/>
      <c r="E8" s="1" t="s">
        <v>51</v>
      </c>
      <c r="F8" s="1" t="s">
        <v>1</v>
      </c>
      <c r="G8" s="10">
        <v>-1</v>
      </c>
      <c r="H8" s="11" t="s">
        <v>63</v>
      </c>
      <c r="I8" s="1" t="b">
        <f t="shared" si="0"/>
        <v>1</v>
      </c>
      <c r="J8" s="1" t="b">
        <f t="shared" si="1"/>
        <v>1</v>
      </c>
      <c r="K8" s="10">
        <f t="shared" si="5"/>
        <v>-1</v>
      </c>
      <c r="L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8" s="10">
        <f>IF(Stakeholders!$D$2="Potential",K8,
      IF(K8&lt;0,MAX(K8,L8),MAX(MIN(K8,L8),0)))</f>
        <v>-1</v>
      </c>
    </row>
    <row r="9" spans="1:13" ht="28.8" x14ac:dyDescent="0.3">
      <c r="A9" s="1" t="str">
        <f>IF(ISBLANK(G9),"",IF(G9&gt;0,"G","R")&amp;TEXT(ROW()-1,"00"))</f>
        <v>G08</v>
      </c>
      <c r="B9" s="1" t="str">
        <f>IF(LEN(A9)&gt;0,VLOOKUP(MID(A9,1,1),Abbreviations,2,FALSE),"")</f>
        <v>Goal</v>
      </c>
      <c r="C9" s="73"/>
      <c r="D9" s="73"/>
      <c r="E9" s="1" t="s">
        <v>51</v>
      </c>
      <c r="F9" s="1" t="s">
        <v>5</v>
      </c>
      <c r="G9" s="10">
        <v>2</v>
      </c>
      <c r="H9" s="1" t="s">
        <v>119</v>
      </c>
      <c r="I9" s="1" t="b">
        <f t="shared" si="0"/>
        <v>1</v>
      </c>
      <c r="J9" s="1" t="b">
        <f t="shared" si="1"/>
        <v>1</v>
      </c>
      <c r="K9" s="10">
        <f t="shared" si="5"/>
        <v>2</v>
      </c>
      <c r="L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2</v>
      </c>
      <c r="M9" s="10">
        <f>IF(Stakeholders!$D$2="Potential",K9,
      IF(K9&lt;0,MAX(K9,L9),MAX(MIN(K9,L9),0)))</f>
        <v>2</v>
      </c>
    </row>
    <row r="10" spans="1:13" ht="28.8" x14ac:dyDescent="0.3">
      <c r="A10" s="1" t="str">
        <f t="shared" si="9"/>
        <v>R09</v>
      </c>
      <c r="B10" s="1" t="str">
        <f t="shared" si="8"/>
        <v>Risk</v>
      </c>
      <c r="C10" s="73"/>
      <c r="D10" s="73"/>
      <c r="E10" s="1" t="s">
        <v>51</v>
      </c>
      <c r="F10" s="1" t="s">
        <v>4</v>
      </c>
      <c r="G10" s="10">
        <v>-1</v>
      </c>
      <c r="H10" s="1" t="s">
        <v>249</v>
      </c>
      <c r="I10" s="1" t="b">
        <f t="shared" si="0"/>
        <v>1</v>
      </c>
      <c r="J10" s="1" t="b">
        <f t="shared" si="1"/>
        <v>1</v>
      </c>
      <c r="K10" s="10">
        <f t="shared" si="5"/>
        <v>-1</v>
      </c>
      <c r="L1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10" s="10">
        <f>IF(Stakeholders!$D$2="Potential",K10,
      IF(K10&lt;0,MAX(K10,L10),MAX(MIN(K10,L10),0)))</f>
        <v>-1</v>
      </c>
    </row>
    <row r="11" spans="1:13" ht="28.8" x14ac:dyDescent="0.3">
      <c r="A11" s="1" t="str">
        <f t="shared" si="9"/>
        <v>R10</v>
      </c>
      <c r="B11" s="1" t="str">
        <f t="shared" si="8"/>
        <v>Risk</v>
      </c>
      <c r="C11" s="73"/>
      <c r="D11" s="73"/>
      <c r="E11" s="1" t="s">
        <v>51</v>
      </c>
      <c r="F11" s="1" t="s">
        <v>4</v>
      </c>
      <c r="G11" s="10">
        <v>-1</v>
      </c>
      <c r="H11" s="1" t="s">
        <v>250</v>
      </c>
      <c r="I11" s="1" t="b">
        <f t="shared" si="0"/>
        <v>1</v>
      </c>
      <c r="J11" s="1" t="b">
        <f t="shared" si="1"/>
        <v>1</v>
      </c>
      <c r="K11" s="10">
        <f t="shared" si="5"/>
        <v>-1</v>
      </c>
      <c r="L1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11" s="10">
        <f>IF(Stakeholders!$D$2="Potential",K11,
      IF(K11&lt;0,MAX(K11,L11),MAX(MIN(K11,L11),0)))</f>
        <v>-1</v>
      </c>
    </row>
    <row r="12" spans="1:13" ht="28.8" x14ac:dyDescent="0.3">
      <c r="A12" s="1" t="str">
        <f t="shared" si="9"/>
        <v>R11</v>
      </c>
      <c r="B12" s="1" t="str">
        <f t="shared" si="8"/>
        <v>Risk</v>
      </c>
      <c r="C12" s="73"/>
      <c r="D12" s="73"/>
      <c r="E12" s="1" t="s">
        <v>51</v>
      </c>
      <c r="F12" s="1" t="s">
        <v>4</v>
      </c>
      <c r="G12" s="10">
        <v>-1</v>
      </c>
      <c r="H12" s="1" t="s">
        <v>251</v>
      </c>
      <c r="I12" s="1" t="b">
        <f t="shared" si="0"/>
        <v>1</v>
      </c>
      <c r="J12" s="1" t="b">
        <f t="shared" si="1"/>
        <v>1</v>
      </c>
      <c r="K12" s="10">
        <f t="shared" si="5"/>
        <v>-1</v>
      </c>
      <c r="L1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12" s="10">
        <f>IF(Stakeholders!$D$2="Potential",K12,
      IF(K12&lt;0,MAX(K12,L12),MAX(MIN(K12,L12),0)))</f>
        <v>-1</v>
      </c>
    </row>
    <row r="13" spans="1:13" ht="28.8" x14ac:dyDescent="0.3">
      <c r="A13" s="1" t="str">
        <f t="shared" si="9"/>
        <v>R12</v>
      </c>
      <c r="B13" s="1" t="str">
        <f t="shared" si="8"/>
        <v>Risk</v>
      </c>
      <c r="C13" s="73"/>
      <c r="D13" s="73"/>
      <c r="E13" s="1" t="s">
        <v>51</v>
      </c>
      <c r="F13" s="1" t="s">
        <v>4</v>
      </c>
      <c r="G13" s="10">
        <v>-1</v>
      </c>
      <c r="H13" s="1" t="s">
        <v>253</v>
      </c>
      <c r="I13" s="1" t="b">
        <f t="shared" si="0"/>
        <v>1</v>
      </c>
      <c r="J13" s="1" t="b">
        <f t="shared" si="1"/>
        <v>1</v>
      </c>
      <c r="K13" s="10">
        <f t="shared" si="5"/>
        <v>-1</v>
      </c>
      <c r="L1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13" s="10">
        <f>IF(Stakeholders!$D$2="Potential",K13,
      IF(K13&lt;0,MAX(K13,L13),MAX(MIN(K13,L13),0)))</f>
        <v>-1</v>
      </c>
    </row>
    <row r="14" spans="1:13" ht="28.8" x14ac:dyDescent="0.3">
      <c r="A14" s="1" t="str">
        <f t="shared" si="9"/>
        <v>R13</v>
      </c>
      <c r="B14" s="1" t="str">
        <f t="shared" ref="B14" si="10">IF(LEN(A14)&gt;0,VLOOKUP(MID(A14,1,1),Abbreviations,2,FALSE),"")</f>
        <v>Risk</v>
      </c>
      <c r="C14" s="73" t="s">
        <v>216</v>
      </c>
      <c r="D14" s="73"/>
      <c r="E14" s="1" t="s">
        <v>55</v>
      </c>
      <c r="F14" s="1" t="s">
        <v>0</v>
      </c>
      <c r="G14" s="10">
        <v>-2</v>
      </c>
      <c r="H14" s="1" t="s">
        <v>279</v>
      </c>
      <c r="I14" s="1" t="b">
        <f t="shared" si="0"/>
        <v>0</v>
      </c>
      <c r="J14" s="1" t="b">
        <f t="shared" si="1"/>
        <v>1</v>
      </c>
      <c r="K14" s="10">
        <f t="shared" ref="K14" si="11">IF(AND(I14,J14),G14,0)</f>
        <v>0</v>
      </c>
      <c r="L1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14" s="10">
        <f>IF(Stakeholders!$D$2="Potential",K14,
      IF(K14&lt;0,MAX(K14,L14),MAX(MIN(K14,L14),0)))</f>
        <v>0</v>
      </c>
    </row>
    <row r="15" spans="1:13" ht="28.8" x14ac:dyDescent="0.3">
      <c r="A15" s="1" t="str">
        <f>IF(ISBLANK(G15),"",IF(G15&gt;0,"G","R")&amp;TEXT(ROW()-1,"00"))</f>
        <v>G14</v>
      </c>
      <c r="B15" s="1" t="str">
        <f t="shared" ref="B15:B20" si="12">IF(LEN(A15)&gt;0,VLOOKUP(MID(A15,1,1),Abbreviations,2,FALSE),"")</f>
        <v>Goal</v>
      </c>
      <c r="C15" s="73"/>
      <c r="D15" s="73"/>
      <c r="E15" s="1" t="s">
        <v>55</v>
      </c>
      <c r="F15" s="11" t="s">
        <v>1</v>
      </c>
      <c r="G15" s="10">
        <v>1</v>
      </c>
      <c r="H15" s="1" t="s">
        <v>64</v>
      </c>
      <c r="I15" s="1" t="b">
        <f t="shared" si="0"/>
        <v>1</v>
      </c>
      <c r="J15" s="1" t="b">
        <f t="shared" si="1"/>
        <v>1</v>
      </c>
      <c r="K15" s="10">
        <f t="shared" si="5"/>
        <v>1</v>
      </c>
      <c r="L1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15" s="10">
        <f>IF(Stakeholders!$D$2="Potential",K15,
      IF(K15&lt;0,MAX(K15,L15),MAX(MIN(K15,L15),0)))</f>
        <v>1</v>
      </c>
    </row>
    <row r="16" spans="1:13" x14ac:dyDescent="0.3">
      <c r="A16" s="1" t="str">
        <f>IF(ISBLANK(G16),"",IF(G16&gt;0,"G","R")&amp;TEXT(ROW()-1,"00"))</f>
        <v>R15</v>
      </c>
      <c r="B16" s="1" t="str">
        <f t="shared" si="12"/>
        <v>Risk</v>
      </c>
      <c r="C16" s="73" t="s">
        <v>216</v>
      </c>
      <c r="D16" s="73"/>
      <c r="E16" s="1" t="s">
        <v>55</v>
      </c>
      <c r="F16" s="1" t="s">
        <v>1</v>
      </c>
      <c r="G16" s="10">
        <v>-2</v>
      </c>
      <c r="H16" s="1" t="s">
        <v>293</v>
      </c>
      <c r="I16" s="1" t="b">
        <f t="shared" si="0"/>
        <v>0</v>
      </c>
      <c r="J16" s="1" t="b">
        <f t="shared" si="1"/>
        <v>1</v>
      </c>
      <c r="K16" s="10">
        <f t="shared" si="5"/>
        <v>0</v>
      </c>
      <c r="L1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16" s="10">
        <f>IF(Stakeholders!$D$2="Potential",K16,
      IF(K16&lt;0,MAX(K16,L16),MAX(MIN(K16,L16),0)))</f>
        <v>0</v>
      </c>
    </row>
    <row r="17" spans="1:13" ht="28.8" x14ac:dyDescent="0.3">
      <c r="A17" s="1" t="str">
        <f>IF(ISBLANK(G17),"",IF(G17&gt;0,"G","R")&amp;TEXT(ROW()-1,"00"))</f>
        <v>R16</v>
      </c>
      <c r="B17" s="1" t="str">
        <f t="shared" si="12"/>
        <v>Risk</v>
      </c>
      <c r="C17" s="73"/>
      <c r="D17" s="73"/>
      <c r="E17" s="1" t="s">
        <v>55</v>
      </c>
      <c r="F17" s="1" t="s">
        <v>4</v>
      </c>
      <c r="G17" s="10">
        <v>-1</v>
      </c>
      <c r="H17" s="1" t="s">
        <v>254</v>
      </c>
      <c r="I17" s="1" t="b">
        <f t="shared" si="0"/>
        <v>1</v>
      </c>
      <c r="J17" s="1" t="b">
        <f t="shared" si="1"/>
        <v>1</v>
      </c>
      <c r="K17" s="10">
        <f t="shared" si="5"/>
        <v>-1</v>
      </c>
      <c r="L1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17" s="10">
        <f>IF(Stakeholders!$D$2="Potential",K17,
      IF(K17&lt;0,MAX(K17,L17),MAX(MIN(K17,L17),0)))</f>
        <v>-1</v>
      </c>
    </row>
    <row r="18" spans="1:13" ht="28.8" x14ac:dyDescent="0.3">
      <c r="A18" s="1" t="str">
        <f>IF(ISBLANK(G18),"",IF(G18&gt;0,"G","R")&amp;TEXT(ROW()-1,"00"))</f>
        <v>R17</v>
      </c>
      <c r="B18" s="1" t="str">
        <f t="shared" si="12"/>
        <v>Risk</v>
      </c>
      <c r="C18" s="73"/>
      <c r="D18" s="73"/>
      <c r="E18" s="1" t="s">
        <v>55</v>
      </c>
      <c r="F18" s="1" t="s">
        <v>4</v>
      </c>
      <c r="G18" s="10">
        <v>-1</v>
      </c>
      <c r="H18" s="1" t="s">
        <v>255</v>
      </c>
      <c r="I18" s="1" t="b">
        <f t="shared" si="0"/>
        <v>1</v>
      </c>
      <c r="J18" s="1" t="b">
        <f t="shared" si="1"/>
        <v>1</v>
      </c>
      <c r="K18" s="10">
        <f t="shared" si="5"/>
        <v>-1</v>
      </c>
      <c r="L1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18" s="10">
        <f>IF(Stakeholders!$D$2="Potential",K18,
      IF(K18&lt;0,MAX(K18,L18),MAX(MIN(K18,L18),0)))</f>
        <v>-1</v>
      </c>
    </row>
    <row r="19" spans="1:13" ht="28.8" x14ac:dyDescent="0.3">
      <c r="A19" s="1" t="str">
        <f t="shared" ref="A19:A20" si="13">IF(ISBLANK(G19),"",IF(G19&gt;0,"G","R")&amp;TEXT(ROW()-1,"00"))</f>
        <v>R18</v>
      </c>
      <c r="B19" s="1" t="str">
        <f t="shared" si="12"/>
        <v>Risk</v>
      </c>
      <c r="C19" s="73"/>
      <c r="D19" s="73"/>
      <c r="E19" s="1" t="s">
        <v>55</v>
      </c>
      <c r="F19" s="1" t="s">
        <v>4</v>
      </c>
      <c r="G19" s="10">
        <v>-1</v>
      </c>
      <c r="H19" s="1" t="s">
        <v>252</v>
      </c>
      <c r="I19" s="1" t="b">
        <f t="shared" si="0"/>
        <v>1</v>
      </c>
      <c r="J19" s="1" t="b">
        <f t="shared" si="1"/>
        <v>1</v>
      </c>
      <c r="K19" s="10">
        <f t="shared" si="5"/>
        <v>-1</v>
      </c>
      <c r="L1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19" s="10">
        <f>IF(Stakeholders!$D$2="Potential",K19,
      IF(K19&lt;0,MAX(K19,L19),MAX(MIN(K19,L19),0)))</f>
        <v>-1</v>
      </c>
    </row>
    <row r="20" spans="1:13" x14ac:dyDescent="0.3">
      <c r="A20" s="1" t="str">
        <f t="shared" si="13"/>
        <v>R19</v>
      </c>
      <c r="B20" s="1" t="str">
        <f t="shared" si="12"/>
        <v>Risk</v>
      </c>
      <c r="C20" s="73"/>
      <c r="D20" s="73"/>
      <c r="E20" s="1" t="s">
        <v>55</v>
      </c>
      <c r="F20" s="1" t="s">
        <v>4</v>
      </c>
      <c r="G20" s="10">
        <v>-1</v>
      </c>
      <c r="H20" s="1" t="s">
        <v>256</v>
      </c>
      <c r="I20" s="1" t="b">
        <f t="shared" si="0"/>
        <v>1</v>
      </c>
      <c r="J20" s="1" t="b">
        <f t="shared" si="1"/>
        <v>1</v>
      </c>
      <c r="K20" s="10">
        <f t="shared" si="5"/>
        <v>-1</v>
      </c>
      <c r="L2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20" s="10">
        <f>IF(Stakeholders!$D$2="Potential",K20,
      IF(K20&lt;0,MAX(K20,L20),MAX(MIN(K20,L20),0)))</f>
        <v>-1</v>
      </c>
    </row>
    <row r="21" spans="1:13" ht="28.8" x14ac:dyDescent="0.3">
      <c r="A21" s="1" t="str">
        <f t="shared" ref="A21:A117" si="14">IF(ISBLANK(G21),"",IF(G21&gt;0,"G","R")&amp;TEXT(ROW()-1,"00"))</f>
        <v>R20</v>
      </c>
      <c r="B21" s="1" t="str">
        <f t="shared" si="8"/>
        <v>Risk</v>
      </c>
      <c r="C21" s="73" t="s">
        <v>217</v>
      </c>
      <c r="D21" s="73"/>
      <c r="E21" s="1" t="s">
        <v>55</v>
      </c>
      <c r="F21" s="1" t="s">
        <v>3</v>
      </c>
      <c r="G21" s="10">
        <v>-1</v>
      </c>
      <c r="H21" s="1" t="s">
        <v>65</v>
      </c>
      <c r="I21" s="1" t="b">
        <f t="shared" si="0"/>
        <v>1</v>
      </c>
      <c r="J21" s="1" t="b">
        <f t="shared" si="1"/>
        <v>1</v>
      </c>
      <c r="K21" s="10">
        <f t="shared" si="5"/>
        <v>-1</v>
      </c>
      <c r="L2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21" s="10">
        <f>IF(Stakeholders!$D$2="Potential",K21,
      IF(K21&lt;0,MAX(K21,L21),MAX(MIN(K21,L21),0)))</f>
        <v>-1</v>
      </c>
    </row>
    <row r="22" spans="1:13" x14ac:dyDescent="0.3">
      <c r="A22" s="1" t="str">
        <f t="shared" si="14"/>
        <v>R21</v>
      </c>
      <c r="B22" s="1" t="str">
        <f t="shared" si="8"/>
        <v>Risk</v>
      </c>
      <c r="C22" s="73"/>
      <c r="D22" s="73"/>
      <c r="E22" s="1" t="s">
        <v>55</v>
      </c>
      <c r="F22" s="1" t="s">
        <v>71</v>
      </c>
      <c r="G22" s="10">
        <v>-2</v>
      </c>
      <c r="H22" s="1" t="s">
        <v>66</v>
      </c>
      <c r="I22" s="1" t="b">
        <f t="shared" si="0"/>
        <v>1</v>
      </c>
      <c r="J22" s="1" t="b">
        <f t="shared" si="1"/>
        <v>1</v>
      </c>
      <c r="K22" s="10">
        <f t="shared" si="5"/>
        <v>-2</v>
      </c>
      <c r="L2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22" s="10">
        <f>IF(Stakeholders!$D$2="Potential",K22,
      IF(K22&lt;0,MAX(K22,L22),MAX(MIN(K22,L22),0)))</f>
        <v>-2</v>
      </c>
    </row>
    <row r="23" spans="1:13" ht="28.8" x14ac:dyDescent="0.3">
      <c r="A23" s="1" t="str">
        <f t="shared" ref="A23" si="15">IF(ISBLANK(G23),"",IF(G23&gt;0,"G","R")&amp;TEXT(ROW()-1,"00"))</f>
        <v>R22</v>
      </c>
      <c r="B23" s="1" t="str">
        <f t="shared" si="8"/>
        <v>Risk</v>
      </c>
      <c r="C23" s="73"/>
      <c r="D23" s="73"/>
      <c r="E23" s="1" t="s">
        <v>55</v>
      </c>
      <c r="F23" s="1" t="s">
        <v>71</v>
      </c>
      <c r="G23" s="10">
        <v>-1</v>
      </c>
      <c r="H23" s="1" t="s">
        <v>68</v>
      </c>
      <c r="I23" s="1" t="b">
        <f t="shared" si="0"/>
        <v>1</v>
      </c>
      <c r="J23" s="1" t="b">
        <f t="shared" si="1"/>
        <v>1</v>
      </c>
      <c r="K23" s="10">
        <f t="shared" si="5"/>
        <v>-1</v>
      </c>
      <c r="L2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23" s="10">
        <f>IF(Stakeholders!$D$2="Potential",K23,
      IF(K23&lt;0,MAX(K23,L23),MAX(MIN(K23,L23),0)))</f>
        <v>-1</v>
      </c>
    </row>
    <row r="24" spans="1:13" ht="28.8" x14ac:dyDescent="0.3">
      <c r="A24" s="1" t="str">
        <f t="shared" ref="A24:A25" si="16">IF(ISBLANK(G24),"",IF(G24&gt;0,"G","R")&amp;TEXT(ROW()-1,"00"))</f>
        <v>R23</v>
      </c>
      <c r="B24" s="1" t="str">
        <f t="shared" ref="B24:B25" si="17">IF(LEN(A24)&gt;0,VLOOKUP(MID(A24,1,1),Abbreviations,2,FALSE),"")</f>
        <v>Risk</v>
      </c>
      <c r="C24" s="73"/>
      <c r="D24" s="73"/>
      <c r="E24" s="1" t="s">
        <v>55</v>
      </c>
      <c r="F24" s="1" t="s">
        <v>6</v>
      </c>
      <c r="G24" s="10">
        <v>-1</v>
      </c>
      <c r="H24" s="1" t="s">
        <v>136</v>
      </c>
      <c r="I24" s="1" t="b">
        <f t="shared" si="0"/>
        <v>1</v>
      </c>
      <c r="J24" s="1" t="b">
        <f t="shared" si="1"/>
        <v>1</v>
      </c>
      <c r="K24" s="10">
        <f t="shared" si="5"/>
        <v>-1</v>
      </c>
      <c r="L2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24" s="10">
        <f>IF(Stakeholders!$D$2="Potential",K24,
      IF(K24&lt;0,MAX(K24,L24),MAX(MIN(K24,L24),0)))</f>
        <v>-1</v>
      </c>
    </row>
    <row r="25" spans="1:13" ht="28.8" x14ac:dyDescent="0.3">
      <c r="A25" s="1" t="str">
        <f t="shared" si="16"/>
        <v>G24</v>
      </c>
      <c r="B25" s="1" t="str">
        <f t="shared" si="17"/>
        <v>Goal</v>
      </c>
      <c r="C25" s="73"/>
      <c r="D25" s="73"/>
      <c r="E25" s="1" t="s">
        <v>55</v>
      </c>
      <c r="F25" s="1" t="s">
        <v>6</v>
      </c>
      <c r="G25" s="10">
        <v>1</v>
      </c>
      <c r="H25" s="1" t="s">
        <v>137</v>
      </c>
      <c r="I25" s="1" t="b">
        <f t="shared" si="0"/>
        <v>1</v>
      </c>
      <c r="J25" s="1" t="b">
        <f t="shared" si="1"/>
        <v>1</v>
      </c>
      <c r="K25" s="10">
        <f t="shared" si="5"/>
        <v>1</v>
      </c>
      <c r="L2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25" s="10">
        <f>IF(Stakeholders!$D$2="Potential",K25,
      IF(K25&lt;0,MAX(K25,L25),MAX(MIN(K25,L25),0)))</f>
        <v>1</v>
      </c>
    </row>
    <row r="26" spans="1:13" ht="28.8" x14ac:dyDescent="0.3">
      <c r="A26" s="1" t="str">
        <f t="shared" ref="A26:A29" si="18">IF(ISBLANK(G26),"",IF(G26&gt;0,"G","R")&amp;TEXT(ROW()-1,"00"))</f>
        <v>R25</v>
      </c>
      <c r="B26" s="1" t="str">
        <f t="shared" ref="B26:B29" si="19">IF(LEN(A26)&gt;0,VLOOKUP(MID(A26,1,1),Abbreviations,2,FALSE),"")</f>
        <v>Risk</v>
      </c>
      <c r="C26" s="73"/>
      <c r="D26" s="73"/>
      <c r="E26" s="1" t="s">
        <v>141</v>
      </c>
      <c r="F26" s="1" t="s">
        <v>4</v>
      </c>
      <c r="G26" s="10">
        <v>-1</v>
      </c>
      <c r="H26" s="1" t="s">
        <v>257</v>
      </c>
      <c r="I26" s="1" t="b">
        <f t="shared" si="0"/>
        <v>1</v>
      </c>
      <c r="J26" s="1" t="b">
        <f t="shared" si="1"/>
        <v>1</v>
      </c>
      <c r="K26" s="10">
        <f t="shared" si="5"/>
        <v>-1</v>
      </c>
      <c r="L2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26" s="10">
        <f>IF(Stakeholders!$D$2="Potential",K26,
      IF(K26&lt;0,MAX(K26,L26),MAX(MIN(K26,L26),0)))</f>
        <v>-1</v>
      </c>
    </row>
    <row r="27" spans="1:13" ht="28.8" x14ac:dyDescent="0.3">
      <c r="A27" s="1" t="str">
        <f t="shared" si="18"/>
        <v>R26</v>
      </c>
      <c r="B27" s="1" t="str">
        <f t="shared" si="19"/>
        <v>Risk</v>
      </c>
      <c r="C27" s="73"/>
      <c r="D27" s="73"/>
      <c r="E27" s="1" t="s">
        <v>141</v>
      </c>
      <c r="F27" s="1" t="s">
        <v>4</v>
      </c>
      <c r="G27" s="10">
        <v>-1</v>
      </c>
      <c r="H27" s="1" t="s">
        <v>258</v>
      </c>
      <c r="I27" s="1" t="b">
        <f t="shared" si="0"/>
        <v>1</v>
      </c>
      <c r="J27" s="1" t="b">
        <f t="shared" si="1"/>
        <v>1</v>
      </c>
      <c r="K27" s="10">
        <f t="shared" si="5"/>
        <v>-1</v>
      </c>
      <c r="L2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27" s="10">
        <f>IF(Stakeholders!$D$2="Potential",K27,
      IF(K27&lt;0,MAX(K27,L27),MAX(MIN(K27,L27),0)))</f>
        <v>-1</v>
      </c>
    </row>
    <row r="28" spans="1:13" ht="28.8" x14ac:dyDescent="0.3">
      <c r="A28" s="1" t="str">
        <f t="shared" si="18"/>
        <v>R27</v>
      </c>
      <c r="B28" s="1" t="str">
        <f t="shared" si="19"/>
        <v>Risk</v>
      </c>
      <c r="C28" s="73"/>
      <c r="D28" s="73"/>
      <c r="E28" s="1" t="s">
        <v>141</v>
      </c>
      <c r="F28" s="1" t="s">
        <v>4</v>
      </c>
      <c r="G28" s="10">
        <v>-1</v>
      </c>
      <c r="H28" s="1" t="s">
        <v>259</v>
      </c>
      <c r="I28" s="1" t="b">
        <f t="shared" si="0"/>
        <v>1</v>
      </c>
      <c r="J28" s="1" t="b">
        <f t="shared" si="1"/>
        <v>1</v>
      </c>
      <c r="K28" s="10">
        <f t="shared" si="5"/>
        <v>-1</v>
      </c>
      <c r="L2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28" s="10">
        <f>IF(Stakeholders!$D$2="Potential",K28,
      IF(K28&lt;0,MAX(K28,L28),MAX(MIN(K28,L28),0)))</f>
        <v>-1</v>
      </c>
    </row>
    <row r="29" spans="1:13" ht="28.8" x14ac:dyDescent="0.3">
      <c r="A29" s="1" t="str">
        <f t="shared" si="18"/>
        <v>R28</v>
      </c>
      <c r="B29" s="1" t="str">
        <f t="shared" si="19"/>
        <v>Risk</v>
      </c>
      <c r="C29" s="73"/>
      <c r="D29" s="73"/>
      <c r="E29" s="1" t="s">
        <v>141</v>
      </c>
      <c r="F29" s="1" t="s">
        <v>71</v>
      </c>
      <c r="G29" s="10">
        <v>-2</v>
      </c>
      <c r="H29" s="1" t="s">
        <v>142</v>
      </c>
      <c r="I29" s="1" t="b">
        <f t="shared" si="0"/>
        <v>1</v>
      </c>
      <c r="J29" s="1" t="b">
        <f t="shared" si="1"/>
        <v>1</v>
      </c>
      <c r="K29" s="10">
        <f t="shared" si="5"/>
        <v>-2</v>
      </c>
      <c r="L2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29" s="10">
        <f>IF(Stakeholders!$D$2="Potential",K29,
      IF(K29&lt;0,MAX(K29,L29),MAX(MIN(K29,L29),0)))</f>
        <v>-2</v>
      </c>
    </row>
    <row r="30" spans="1:13" ht="28.8" x14ac:dyDescent="0.3">
      <c r="A30" s="1" t="str">
        <f t="shared" ref="A30:A35" si="20">IF(ISBLANK(G30),"",IF(G30&gt;0,"G","R")&amp;TEXT(ROW()-1,"00"))</f>
        <v>G29</v>
      </c>
      <c r="B30" s="1" t="str">
        <f t="shared" ref="B30:B35" si="21">IF(LEN(A30)&gt;0,VLOOKUP(MID(A30,1,1),Abbreviations,2,FALSE),"")</f>
        <v>Goal</v>
      </c>
      <c r="C30" s="73"/>
      <c r="D30" s="73"/>
      <c r="E30" s="1" t="s">
        <v>141</v>
      </c>
      <c r="F30" s="1" t="s">
        <v>71</v>
      </c>
      <c r="G30" s="10">
        <v>1</v>
      </c>
      <c r="H30" s="1" t="s">
        <v>143</v>
      </c>
      <c r="I30" s="1" t="b">
        <f t="shared" si="0"/>
        <v>1</v>
      </c>
      <c r="J30" s="1" t="b">
        <f t="shared" si="1"/>
        <v>1</v>
      </c>
      <c r="K30" s="10">
        <f t="shared" si="5"/>
        <v>1</v>
      </c>
      <c r="L3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30" s="10">
        <f>IF(Stakeholders!$D$2="Potential",K30,
      IF(K30&lt;0,MAX(K30,L30),MAX(MIN(K30,L30),0)))</f>
        <v>1</v>
      </c>
    </row>
    <row r="31" spans="1:13" ht="28.8" x14ac:dyDescent="0.3">
      <c r="A31" s="1" t="str">
        <f t="shared" ref="A31" si="22">IF(ISBLANK(G31),"",IF(G31&gt;0,"G","R")&amp;TEXT(ROW()-1,"00"))</f>
        <v>R30</v>
      </c>
      <c r="B31" s="1" t="str">
        <f t="shared" ref="B31" si="23">IF(LEN(A31)&gt;0,VLOOKUP(MID(A31,1,1),Abbreviations,2,FALSE),"")</f>
        <v>Risk</v>
      </c>
      <c r="C31" s="73"/>
      <c r="D31" s="73"/>
      <c r="E31" s="1" t="s">
        <v>140</v>
      </c>
      <c r="F31" s="1" t="s">
        <v>1</v>
      </c>
      <c r="G31" s="10">
        <v>-1</v>
      </c>
      <c r="H31" s="1" t="s">
        <v>248</v>
      </c>
      <c r="I31" s="1" t="b">
        <f t="shared" si="0"/>
        <v>1</v>
      </c>
      <c r="J31" s="1" t="b">
        <f t="shared" si="1"/>
        <v>1</v>
      </c>
      <c r="K31" s="10">
        <f t="shared" si="5"/>
        <v>-1</v>
      </c>
      <c r="L3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31" s="10">
        <f>IF(Stakeholders!$D$2="Potential",K31,
      IF(K31&lt;0,MAX(K31,L31),MAX(MIN(K31,L31),0)))</f>
        <v>-1</v>
      </c>
    </row>
    <row r="32" spans="1:13" ht="28.8" x14ac:dyDescent="0.3">
      <c r="A32" s="1" t="str">
        <f t="shared" si="20"/>
        <v>R31</v>
      </c>
      <c r="B32" s="1" t="str">
        <f t="shared" si="21"/>
        <v>Risk</v>
      </c>
      <c r="C32" s="73"/>
      <c r="D32" s="73"/>
      <c r="E32" s="1" t="s">
        <v>140</v>
      </c>
      <c r="F32" s="1" t="s">
        <v>4</v>
      </c>
      <c r="G32" s="10">
        <v>-2</v>
      </c>
      <c r="H32" s="1" t="s">
        <v>356</v>
      </c>
      <c r="I32" s="1" t="b">
        <f t="shared" si="0"/>
        <v>1</v>
      </c>
      <c r="J32" s="1" t="b">
        <f t="shared" si="1"/>
        <v>1</v>
      </c>
      <c r="K32" s="10">
        <f t="shared" si="5"/>
        <v>-2</v>
      </c>
      <c r="L3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32" s="10">
        <f>IF(Stakeholders!$D$2="Potential",K32,
      IF(K32&lt;0,MAX(K32,L32),MAX(MIN(K32,L32),0)))</f>
        <v>-2</v>
      </c>
    </row>
    <row r="33" spans="1:13" ht="28.8" x14ac:dyDescent="0.3">
      <c r="A33" s="1" t="str">
        <f t="shared" ref="A33" si="24">IF(ISBLANK(G33),"",IF(G33&gt;0,"G","R")&amp;TEXT(ROW()-1,"00"))</f>
        <v>R32</v>
      </c>
      <c r="B33" s="1" t="str">
        <f t="shared" ref="B33" si="25">IF(LEN(A33)&gt;0,VLOOKUP(MID(A33,1,1),Abbreviations,2,FALSE),"")</f>
        <v>Risk</v>
      </c>
      <c r="C33" s="73"/>
      <c r="D33" s="73"/>
      <c r="E33" s="1" t="s">
        <v>140</v>
      </c>
      <c r="F33" s="1" t="s">
        <v>4</v>
      </c>
      <c r="G33" s="10">
        <v>-1</v>
      </c>
      <c r="H33" s="1" t="s">
        <v>260</v>
      </c>
      <c r="I33" s="1" t="b">
        <f t="shared" si="0"/>
        <v>1</v>
      </c>
      <c r="J33" s="1" t="b">
        <f t="shared" si="1"/>
        <v>1</v>
      </c>
      <c r="K33" s="10">
        <f t="shared" si="5"/>
        <v>-1</v>
      </c>
      <c r="L3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33" s="10">
        <f>IF(Stakeholders!$D$2="Potential",K33,
      IF(K33&lt;0,MAX(K33,L33),MAX(MIN(K33,L33),0)))</f>
        <v>-1</v>
      </c>
    </row>
    <row r="34" spans="1:13" ht="28.8" x14ac:dyDescent="0.3">
      <c r="A34" s="1" t="str">
        <f t="shared" si="20"/>
        <v>R33</v>
      </c>
      <c r="B34" s="1" t="str">
        <f t="shared" si="21"/>
        <v>Risk</v>
      </c>
      <c r="C34" s="73"/>
      <c r="D34" s="73"/>
      <c r="E34" s="1" t="s">
        <v>140</v>
      </c>
      <c r="F34" s="1" t="s">
        <v>4</v>
      </c>
      <c r="G34" s="10">
        <v>-1</v>
      </c>
      <c r="H34" s="1" t="s">
        <v>261</v>
      </c>
      <c r="I34" s="1" t="b">
        <f t="shared" ref="I34:I65" si="26">IF(ISBLANK(C34),TRUE,VLOOKUP(C34,Scens_With_All_Data,4,FALSE))</f>
        <v>1</v>
      </c>
      <c r="J34" s="1" t="b">
        <f t="shared" ref="J34:J65" si="27">IF(ISBLANK(D34),TRUE,VLOOKUP(D34,Scens_With_All_Data,4,FALSE))</f>
        <v>1</v>
      </c>
      <c r="K34" s="10">
        <f t="shared" si="5"/>
        <v>-1</v>
      </c>
      <c r="L3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34" s="10">
        <f>IF(Stakeholders!$D$2="Potential",K34,
      IF(K34&lt;0,MAX(K34,L34),MAX(MIN(K34,L34),0)))</f>
        <v>-1</v>
      </c>
    </row>
    <row r="35" spans="1:13" ht="28.8" x14ac:dyDescent="0.3">
      <c r="A35" s="1" t="str">
        <f t="shared" si="20"/>
        <v>R34</v>
      </c>
      <c r="B35" s="1" t="str">
        <f t="shared" si="21"/>
        <v>Risk</v>
      </c>
      <c r="C35" s="73"/>
      <c r="D35" s="73"/>
      <c r="E35" s="1" t="s">
        <v>140</v>
      </c>
      <c r="F35" s="1" t="s">
        <v>4</v>
      </c>
      <c r="G35" s="10">
        <v>-1</v>
      </c>
      <c r="H35" s="1" t="s">
        <v>262</v>
      </c>
      <c r="I35" s="1" t="b">
        <f t="shared" si="26"/>
        <v>1</v>
      </c>
      <c r="J35" s="1" t="b">
        <f t="shared" si="27"/>
        <v>1</v>
      </c>
      <c r="K35" s="10">
        <f t="shared" si="5"/>
        <v>-1</v>
      </c>
      <c r="L3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35" s="10">
        <f>IF(Stakeholders!$D$2="Potential",K35,
      IF(K35&lt;0,MAX(K35,L35),MAX(MIN(K35,L35),0)))</f>
        <v>-1</v>
      </c>
    </row>
    <row r="36" spans="1:13" x14ac:dyDescent="0.3">
      <c r="A36" s="1" t="str">
        <f t="shared" ref="A36:A37" si="28">IF(ISBLANK(G36),"",IF(G36&gt;0,"G","R")&amp;TEXT(ROW()-1,"00"))</f>
        <v>G35</v>
      </c>
      <c r="B36" s="1" t="str">
        <f t="shared" ref="B36:B37" si="29">IF(LEN(A36)&gt;0,VLOOKUP(MID(A36,1,1),Abbreviations,2,FALSE),"")</f>
        <v>Goal</v>
      </c>
      <c r="C36" s="73"/>
      <c r="D36" s="73"/>
      <c r="E36" s="1" t="s">
        <v>140</v>
      </c>
      <c r="F36" s="1" t="s">
        <v>6</v>
      </c>
      <c r="G36" s="10">
        <v>1</v>
      </c>
      <c r="H36" s="1" t="s">
        <v>144</v>
      </c>
      <c r="I36" s="1" t="b">
        <f t="shared" si="26"/>
        <v>1</v>
      </c>
      <c r="J36" s="1" t="b">
        <f t="shared" si="27"/>
        <v>1</v>
      </c>
      <c r="K36" s="10">
        <f t="shared" si="5"/>
        <v>1</v>
      </c>
      <c r="L3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36" s="10">
        <f>IF(Stakeholders!$D$2="Potential",K36,
      IF(K36&lt;0,MAX(K36,L36),MAX(MIN(K36,L36),0)))</f>
        <v>1</v>
      </c>
    </row>
    <row r="37" spans="1:13" ht="28.8" x14ac:dyDescent="0.3">
      <c r="A37" s="1" t="str">
        <f t="shared" si="28"/>
        <v>R36</v>
      </c>
      <c r="B37" s="1" t="str">
        <f t="shared" si="29"/>
        <v>Risk</v>
      </c>
      <c r="C37" s="73"/>
      <c r="D37" s="73"/>
      <c r="E37" s="1" t="s">
        <v>140</v>
      </c>
      <c r="F37" s="1" t="s">
        <v>71</v>
      </c>
      <c r="G37" s="10">
        <v>-2</v>
      </c>
      <c r="H37" s="1" t="s">
        <v>145</v>
      </c>
      <c r="I37" s="1" t="b">
        <f t="shared" si="26"/>
        <v>1</v>
      </c>
      <c r="J37" s="1" t="b">
        <f t="shared" si="27"/>
        <v>1</v>
      </c>
      <c r="K37" s="10">
        <f t="shared" si="5"/>
        <v>-2</v>
      </c>
      <c r="L3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37" s="10">
        <f>IF(Stakeholders!$D$2="Potential",K37,
      IF(K37&lt;0,MAX(K37,L37),MAX(MIN(K37,L37),0)))</f>
        <v>-2</v>
      </c>
    </row>
    <row r="38" spans="1:13" x14ac:dyDescent="0.3">
      <c r="A38" s="1" t="str">
        <f t="shared" ref="A38:A39" si="30">IF(ISBLANK(G38),"",IF(G38&gt;0,"G","R")&amp;TEXT(ROW()-1,"00"))</f>
        <v>R37</v>
      </c>
      <c r="B38" s="1" t="str">
        <f t="shared" ref="B38" si="31">IF(LEN(A38)&gt;0,VLOOKUP(MID(A38,1,1),Abbreviations,2,FALSE),"")</f>
        <v>Risk</v>
      </c>
      <c r="C38" s="73"/>
      <c r="D38" s="73"/>
      <c r="E38" s="1" t="s">
        <v>140</v>
      </c>
      <c r="F38" s="1" t="s">
        <v>7</v>
      </c>
      <c r="G38" s="10">
        <v>-1</v>
      </c>
      <c r="H38" s="1" t="s">
        <v>146</v>
      </c>
      <c r="I38" s="1" t="b">
        <f t="shared" si="26"/>
        <v>1</v>
      </c>
      <c r="J38" s="1" t="b">
        <f t="shared" si="27"/>
        <v>1</v>
      </c>
      <c r="K38" s="10">
        <f t="shared" si="5"/>
        <v>-1</v>
      </c>
      <c r="L3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38" s="10">
        <f>IF(Stakeholders!$D$2="Potential",K38,
      IF(K38&lt;0,MAX(K38,L38),MAX(MIN(K38,L38),0)))</f>
        <v>-1</v>
      </c>
    </row>
    <row r="39" spans="1:13" x14ac:dyDescent="0.3">
      <c r="A39" s="1" t="str">
        <f t="shared" si="30"/>
        <v>R38</v>
      </c>
      <c r="B39" s="1" t="str">
        <f t="shared" ref="B39" si="32">IF(LEN(A39)&gt;0,VLOOKUP(MID(A39,1,1),Abbreviations,2,FALSE),"")</f>
        <v>Risk</v>
      </c>
      <c r="C39" s="73"/>
      <c r="D39" s="73"/>
      <c r="E39" s="1" t="s">
        <v>140</v>
      </c>
      <c r="F39" s="1" t="s">
        <v>7</v>
      </c>
      <c r="G39" s="10">
        <v>-1</v>
      </c>
      <c r="H39" s="1" t="s">
        <v>147</v>
      </c>
      <c r="I39" s="1" t="b">
        <f t="shared" si="26"/>
        <v>1</v>
      </c>
      <c r="J39" s="1" t="b">
        <f t="shared" si="27"/>
        <v>1</v>
      </c>
      <c r="K39" s="10">
        <f t="shared" si="5"/>
        <v>-1</v>
      </c>
      <c r="L3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39" s="10">
        <f>IF(Stakeholders!$D$2="Potential",K39,
      IF(K39&lt;0,MAX(K39,L39),MAX(MIN(K39,L39),0)))</f>
        <v>-1</v>
      </c>
    </row>
    <row r="40" spans="1:13" ht="28.8" x14ac:dyDescent="0.3">
      <c r="A40" s="1" t="str">
        <f t="shared" ref="A40" si="33">IF(ISBLANK(G40),"",IF(G40&gt;0,"G","R")&amp;TEXT(ROW()-1,"00"))</f>
        <v>G39</v>
      </c>
      <c r="B40" s="1" t="str">
        <f t="shared" ref="B40" si="34">IF(LEN(A40)&gt;0,VLOOKUP(MID(A40,1,1),Abbreviations,2,FALSE),"")</f>
        <v>Goal</v>
      </c>
      <c r="C40" s="73"/>
      <c r="D40" s="73"/>
      <c r="E40" s="1" t="s">
        <v>140</v>
      </c>
      <c r="F40" s="1" t="s">
        <v>7</v>
      </c>
      <c r="G40" s="10">
        <v>1</v>
      </c>
      <c r="H40" s="1" t="s">
        <v>148</v>
      </c>
      <c r="I40" s="1" t="b">
        <f t="shared" si="26"/>
        <v>1</v>
      </c>
      <c r="J40" s="1" t="b">
        <f t="shared" si="27"/>
        <v>1</v>
      </c>
      <c r="K40" s="10">
        <f t="shared" si="5"/>
        <v>1</v>
      </c>
      <c r="L4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40" s="10">
        <f>IF(Stakeholders!$D$2="Potential",K40,
      IF(K40&lt;0,MAX(K40,L40),MAX(MIN(K40,L40),0)))</f>
        <v>1</v>
      </c>
    </row>
    <row r="41" spans="1:13" ht="28.8" x14ac:dyDescent="0.3">
      <c r="A41" s="1" t="str">
        <f t="shared" ref="A41:A76" si="35">IF(ISBLANK(G41),"",IF(G41&gt;0,"G","R")&amp;TEXT(ROW()-1,"00"))</f>
        <v>G40</v>
      </c>
      <c r="B41" s="1" t="str">
        <f t="shared" si="8"/>
        <v>Goal</v>
      </c>
      <c r="C41" s="73" t="s">
        <v>215</v>
      </c>
      <c r="D41" s="73"/>
      <c r="E41" s="1" t="s">
        <v>242</v>
      </c>
      <c r="F41" s="1" t="s">
        <v>71</v>
      </c>
      <c r="G41" s="10">
        <v>1</v>
      </c>
      <c r="H41" s="1" t="s">
        <v>67</v>
      </c>
      <c r="I41" s="1" t="b">
        <f t="shared" si="26"/>
        <v>1</v>
      </c>
      <c r="J41" s="1" t="b">
        <f t="shared" si="27"/>
        <v>1</v>
      </c>
      <c r="K41" s="10">
        <f t="shared" si="5"/>
        <v>1</v>
      </c>
      <c r="L4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41" s="10">
        <f>IF(Stakeholders!$D$2="Potential",K41,
      IF(K41&lt;0,MAX(K41,L41),MAX(MIN(K41,L41),0)))</f>
        <v>1</v>
      </c>
    </row>
    <row r="42" spans="1:13" ht="28.8" x14ac:dyDescent="0.3">
      <c r="A42" s="1" t="str">
        <f t="shared" ref="A42:A47" si="36">IF(ISBLANK(G42),"",IF(G42&gt;0,"G","R")&amp;TEXT(ROW()-1,"00"))</f>
        <v>G41</v>
      </c>
      <c r="B42" s="1" t="str">
        <f t="shared" ref="B42" si="37">IF(LEN(A42)&gt;0,VLOOKUP(MID(A42,1,1),Abbreviations,2,FALSE),"")</f>
        <v>Goal</v>
      </c>
      <c r="C42" s="73" t="s">
        <v>215</v>
      </c>
      <c r="D42" s="73"/>
      <c r="E42" s="1" t="s">
        <v>242</v>
      </c>
      <c r="F42" s="1" t="s">
        <v>6</v>
      </c>
      <c r="G42" s="10">
        <v>1</v>
      </c>
      <c r="H42" s="1" t="s">
        <v>138</v>
      </c>
      <c r="I42" s="1" t="b">
        <f t="shared" si="26"/>
        <v>1</v>
      </c>
      <c r="J42" s="1" t="b">
        <f t="shared" si="27"/>
        <v>1</v>
      </c>
      <c r="K42" s="10">
        <f t="shared" si="5"/>
        <v>1</v>
      </c>
      <c r="L4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42" s="10">
        <f>IF(Stakeholders!$D$2="Potential",K42,
      IF(K42&lt;0,MAX(K42,L42),MAX(MIN(K42,L42),0)))</f>
        <v>1</v>
      </c>
    </row>
    <row r="43" spans="1:13" ht="28.8" x14ac:dyDescent="0.3">
      <c r="A43" s="1" t="str">
        <f t="shared" ref="A43:A46" si="38">IF(ISBLANK(G43),"",IF(G43&gt;0,"G","R")&amp;TEXT(ROW()-1,"00"))</f>
        <v>R42</v>
      </c>
      <c r="B43" s="1" t="str">
        <f t="shared" ref="B43:B46" si="39">IF(LEN(A43)&gt;0,VLOOKUP(MID(A43,1,1),Abbreviations,2,FALSE),"")</f>
        <v>Risk</v>
      </c>
      <c r="C43" s="73" t="s">
        <v>215</v>
      </c>
      <c r="D43" s="73" t="s">
        <v>227</v>
      </c>
      <c r="E43" s="1" t="s">
        <v>69</v>
      </c>
      <c r="F43" s="1" t="s">
        <v>4</v>
      </c>
      <c r="G43" s="10">
        <v>-1</v>
      </c>
      <c r="H43" s="1" t="s">
        <v>263</v>
      </c>
      <c r="I43" s="1" t="b">
        <f t="shared" si="26"/>
        <v>1</v>
      </c>
      <c r="J43" s="1" t="b">
        <f t="shared" si="27"/>
        <v>1</v>
      </c>
      <c r="K43" s="10">
        <f t="shared" si="5"/>
        <v>-1</v>
      </c>
      <c r="L4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43" s="10">
        <f>IF(Stakeholders!$D$2="Potential",K43,
      IF(K43&lt;0,MAX(K43,L43),MAX(MIN(K43,L43),0)))</f>
        <v>-1</v>
      </c>
    </row>
    <row r="44" spans="1:13" ht="28.8" x14ac:dyDescent="0.3">
      <c r="A44" s="1" t="str">
        <f t="shared" ref="A44" si="40">IF(ISBLANK(G44),"",IF(G44&gt;0,"G","R")&amp;TEXT(ROW()-1,"00"))</f>
        <v>R43</v>
      </c>
      <c r="B44" s="1" t="str">
        <f t="shared" ref="B44" si="41">IF(LEN(A44)&gt;0,VLOOKUP(MID(A44,1,1),Abbreviations,2,FALSE),"")</f>
        <v>Risk</v>
      </c>
      <c r="C44" s="73" t="s">
        <v>215</v>
      </c>
      <c r="D44" s="73" t="s">
        <v>227</v>
      </c>
      <c r="E44" s="1" t="s">
        <v>69</v>
      </c>
      <c r="F44" s="1" t="s">
        <v>4</v>
      </c>
      <c r="G44" s="10">
        <v>-1</v>
      </c>
      <c r="H44" s="1" t="s">
        <v>264</v>
      </c>
      <c r="I44" s="1" t="b">
        <f t="shared" si="26"/>
        <v>1</v>
      </c>
      <c r="J44" s="1" t="b">
        <f t="shared" si="27"/>
        <v>1</v>
      </c>
      <c r="K44" s="10">
        <f t="shared" si="5"/>
        <v>-1</v>
      </c>
      <c r="L4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44" s="10">
        <f>IF(Stakeholders!$D$2="Potential",K44,
      IF(K44&lt;0,MAX(K44,L44),MAX(MIN(K44,L44),0)))</f>
        <v>-1</v>
      </c>
    </row>
    <row r="45" spans="1:13" ht="28.8" x14ac:dyDescent="0.3">
      <c r="A45" s="1" t="str">
        <f t="shared" si="38"/>
        <v>R44</v>
      </c>
      <c r="B45" s="1" t="str">
        <f t="shared" si="39"/>
        <v>Risk</v>
      </c>
      <c r="C45" s="73" t="s">
        <v>215</v>
      </c>
      <c r="D45" s="73" t="s">
        <v>227</v>
      </c>
      <c r="E45" s="1" t="s">
        <v>69</v>
      </c>
      <c r="F45" s="1" t="s">
        <v>4</v>
      </c>
      <c r="G45" s="10">
        <v>-1</v>
      </c>
      <c r="H45" s="1" t="s">
        <v>265</v>
      </c>
      <c r="I45" s="1" t="b">
        <f t="shared" si="26"/>
        <v>1</v>
      </c>
      <c r="J45" s="1" t="b">
        <f t="shared" si="27"/>
        <v>1</v>
      </c>
      <c r="K45" s="10">
        <f t="shared" si="5"/>
        <v>-1</v>
      </c>
      <c r="L4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45" s="10">
        <f>IF(Stakeholders!$D$2="Potential",K45,
      IF(K45&lt;0,MAX(K45,L45),MAX(MIN(K45,L45),0)))</f>
        <v>-1</v>
      </c>
    </row>
    <row r="46" spans="1:13" x14ac:dyDescent="0.3">
      <c r="A46" s="1" t="str">
        <f t="shared" si="38"/>
        <v>R45</v>
      </c>
      <c r="B46" s="1" t="str">
        <f t="shared" si="39"/>
        <v>Risk</v>
      </c>
      <c r="C46" s="73" t="s">
        <v>215</v>
      </c>
      <c r="D46" s="73" t="s">
        <v>227</v>
      </c>
      <c r="E46" s="1" t="s">
        <v>69</v>
      </c>
      <c r="F46" s="1" t="s">
        <v>4</v>
      </c>
      <c r="G46" s="10">
        <v>-1</v>
      </c>
      <c r="H46" s="1" t="s">
        <v>266</v>
      </c>
      <c r="I46" s="1" t="b">
        <f t="shared" si="26"/>
        <v>1</v>
      </c>
      <c r="J46" s="1" t="b">
        <f t="shared" si="27"/>
        <v>1</v>
      </c>
      <c r="K46" s="10">
        <f t="shared" si="5"/>
        <v>-1</v>
      </c>
      <c r="L4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46" s="10">
        <f>IF(Stakeholders!$D$2="Potential",K46,
      IF(K46&lt;0,MAX(K46,L46),MAX(MIN(K46,L46),0)))</f>
        <v>-1</v>
      </c>
    </row>
    <row r="47" spans="1:13" ht="28.8" x14ac:dyDescent="0.3">
      <c r="A47" s="1" t="str">
        <f t="shared" si="36"/>
        <v>G46</v>
      </c>
      <c r="B47" s="1" t="str">
        <f t="shared" ref="B47" si="42">IF(LEN(A47)&gt;0,VLOOKUP(MID(A47,1,1),Abbreviations,2,FALSE),"")</f>
        <v>Goal</v>
      </c>
      <c r="C47" s="73" t="s">
        <v>215</v>
      </c>
      <c r="D47" s="73"/>
      <c r="E47" s="1" t="s">
        <v>69</v>
      </c>
      <c r="F47" s="1" t="s">
        <v>6</v>
      </c>
      <c r="G47" s="10">
        <v>1</v>
      </c>
      <c r="H47" s="1" t="s">
        <v>380</v>
      </c>
      <c r="I47" s="1" t="b">
        <f t="shared" si="26"/>
        <v>1</v>
      </c>
      <c r="J47" s="1" t="b">
        <f t="shared" si="27"/>
        <v>1</v>
      </c>
      <c r="K47" s="10">
        <f t="shared" si="5"/>
        <v>1</v>
      </c>
      <c r="L4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47" s="10">
        <f>IF(Stakeholders!$D$2="Potential",K47,
      IF(K47&lt;0,MAX(K47,L47),MAX(MIN(K47,L47),0)))</f>
        <v>1</v>
      </c>
    </row>
    <row r="48" spans="1:13" ht="28.8" x14ac:dyDescent="0.3">
      <c r="A48" s="1" t="str">
        <f t="shared" si="35"/>
        <v>G47</v>
      </c>
      <c r="B48" s="1" t="str">
        <f t="shared" si="8"/>
        <v>Goal</v>
      </c>
      <c r="C48" s="73" t="s">
        <v>215</v>
      </c>
      <c r="D48" s="73"/>
      <c r="E48" s="1" t="s">
        <v>69</v>
      </c>
      <c r="F48" s="1" t="s">
        <v>71</v>
      </c>
      <c r="G48" s="10">
        <v>1</v>
      </c>
      <c r="H48" s="1" t="s">
        <v>72</v>
      </c>
      <c r="I48" s="1" t="b">
        <f t="shared" si="26"/>
        <v>1</v>
      </c>
      <c r="J48" s="1" t="b">
        <f t="shared" si="27"/>
        <v>1</v>
      </c>
      <c r="K48" s="10">
        <f t="shared" si="5"/>
        <v>1</v>
      </c>
      <c r="L4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48" s="10">
        <f>IF(Stakeholders!$D$2="Potential",K48,
      IF(K48&lt;0,MAX(K48,L48),MAX(MIN(K48,L48),0)))</f>
        <v>1</v>
      </c>
    </row>
    <row r="49" spans="1:13" ht="28.8" x14ac:dyDescent="0.3">
      <c r="A49" s="1" t="str">
        <f t="shared" ref="A49" si="43">IF(ISBLANK(G49),"",IF(G49&gt;0,"G","R")&amp;TEXT(ROW()-1,"00"))</f>
        <v>R48</v>
      </c>
      <c r="B49" s="1" t="str">
        <f t="shared" si="8"/>
        <v>Risk</v>
      </c>
      <c r="C49" s="73" t="s">
        <v>215</v>
      </c>
      <c r="D49" s="73" t="s">
        <v>227</v>
      </c>
      <c r="E49" s="1" t="s">
        <v>69</v>
      </c>
      <c r="F49" s="1" t="s">
        <v>71</v>
      </c>
      <c r="G49" s="10">
        <v>-1</v>
      </c>
      <c r="H49" s="1" t="s">
        <v>74</v>
      </c>
      <c r="I49" s="1" t="b">
        <f t="shared" si="26"/>
        <v>1</v>
      </c>
      <c r="J49" s="1" t="b">
        <f t="shared" si="27"/>
        <v>1</v>
      </c>
      <c r="K49" s="10">
        <f t="shared" si="5"/>
        <v>-1</v>
      </c>
      <c r="L4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49" s="10">
        <f>IF(Stakeholders!$D$2="Potential",K49,
      IF(K49&lt;0,MAX(K49,L49),MAX(MIN(K49,L49),0)))</f>
        <v>-1</v>
      </c>
    </row>
    <row r="50" spans="1:13" ht="28.8" x14ac:dyDescent="0.3">
      <c r="A50" s="1" t="str">
        <f t="shared" ref="A50" si="44">IF(ISBLANK(G50),"",IF(G50&gt;0,"G","R")&amp;TEXT(ROW()-1,"00"))</f>
        <v>R49</v>
      </c>
      <c r="B50" s="1" t="str">
        <f t="shared" ref="B50" si="45">IF(LEN(A50)&gt;0,VLOOKUP(MID(A50,1,1),Abbreviations,2,FALSE),"")</f>
        <v>Risk</v>
      </c>
      <c r="C50" s="73" t="s">
        <v>215</v>
      </c>
      <c r="D50" s="73" t="s">
        <v>227</v>
      </c>
      <c r="E50" s="1" t="s">
        <v>38</v>
      </c>
      <c r="F50" s="1" t="s">
        <v>4</v>
      </c>
      <c r="G50" s="10">
        <v>-2</v>
      </c>
      <c r="H50" s="1" t="s">
        <v>267</v>
      </c>
      <c r="I50" s="1" t="b">
        <f t="shared" si="26"/>
        <v>1</v>
      </c>
      <c r="J50" s="1" t="b">
        <f t="shared" si="27"/>
        <v>1</v>
      </c>
      <c r="K50" s="10">
        <f t="shared" si="5"/>
        <v>-2</v>
      </c>
      <c r="L5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50" s="10">
        <f>IF(Stakeholders!$D$2="Potential",K50,
      IF(K50&lt;0,MAX(K50,L50),MAX(MIN(K50,L50),0)))</f>
        <v>-2</v>
      </c>
    </row>
    <row r="51" spans="1:13" ht="28.8" x14ac:dyDescent="0.3">
      <c r="A51" s="1" t="str">
        <f t="shared" ref="A51" si="46">IF(ISBLANK(G51),"",IF(G51&gt;0,"G","R")&amp;TEXT(ROW()-1,"00"))</f>
        <v>R50</v>
      </c>
      <c r="B51" s="1" t="str">
        <f t="shared" ref="B51" si="47">IF(LEN(A51)&gt;0,VLOOKUP(MID(A51,1,1),Abbreviations,2,FALSE),"")</f>
        <v>Risk</v>
      </c>
      <c r="C51" s="73" t="s">
        <v>215</v>
      </c>
      <c r="D51" s="73" t="s">
        <v>227</v>
      </c>
      <c r="E51" s="1" t="s">
        <v>38</v>
      </c>
      <c r="F51" s="1" t="s">
        <v>4</v>
      </c>
      <c r="G51" s="10">
        <v>-1</v>
      </c>
      <c r="H51" s="1" t="s">
        <v>268</v>
      </c>
      <c r="I51" s="1" t="b">
        <f t="shared" si="26"/>
        <v>1</v>
      </c>
      <c r="J51" s="1" t="b">
        <f t="shared" si="27"/>
        <v>1</v>
      </c>
      <c r="K51" s="10">
        <f t="shared" si="5"/>
        <v>-1</v>
      </c>
      <c r="L5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51" s="10">
        <f>IF(Stakeholders!$D$2="Potential",K51,
      IF(K51&lt;0,MAX(K51,L51),MAX(MIN(K51,L51),0)))</f>
        <v>-1</v>
      </c>
    </row>
    <row r="52" spans="1:13" ht="28.8" x14ac:dyDescent="0.3">
      <c r="A52" s="1" t="str">
        <f t="shared" si="35"/>
        <v>R51</v>
      </c>
      <c r="B52" s="1" t="str">
        <f t="shared" si="8"/>
        <v>Risk</v>
      </c>
      <c r="C52" s="73" t="s">
        <v>215</v>
      </c>
      <c r="D52" s="73" t="s">
        <v>227</v>
      </c>
      <c r="E52" s="1" t="s">
        <v>38</v>
      </c>
      <c r="F52" s="1" t="s">
        <v>71</v>
      </c>
      <c r="G52" s="10">
        <v>-2</v>
      </c>
      <c r="H52" s="1" t="s">
        <v>73</v>
      </c>
      <c r="I52" s="1" t="b">
        <f t="shared" si="26"/>
        <v>1</v>
      </c>
      <c r="J52" s="1" t="b">
        <f t="shared" si="27"/>
        <v>1</v>
      </c>
      <c r="K52" s="10">
        <f t="shared" si="5"/>
        <v>-2</v>
      </c>
      <c r="L5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52" s="10">
        <f>IF(Stakeholders!$D$2="Potential",K52,
      IF(K52&lt;0,MAX(K52,L52),MAX(MIN(K52,L52),0)))</f>
        <v>-2</v>
      </c>
    </row>
    <row r="53" spans="1:13" x14ac:dyDescent="0.3">
      <c r="A53" s="1" t="str">
        <f t="shared" si="35"/>
        <v>G52</v>
      </c>
      <c r="B53" s="1" t="str">
        <f t="shared" si="8"/>
        <v>Goal</v>
      </c>
      <c r="C53" s="73" t="s">
        <v>215</v>
      </c>
      <c r="D53" s="73" t="s">
        <v>227</v>
      </c>
      <c r="E53" s="1" t="s">
        <v>38</v>
      </c>
      <c r="F53" s="1" t="s">
        <v>7</v>
      </c>
      <c r="G53" s="10">
        <v>1</v>
      </c>
      <c r="H53" s="1" t="s">
        <v>269</v>
      </c>
      <c r="I53" s="1" t="b">
        <f t="shared" si="26"/>
        <v>1</v>
      </c>
      <c r="J53" s="1" t="b">
        <f t="shared" si="27"/>
        <v>1</v>
      </c>
      <c r="K53" s="10">
        <f t="shared" si="5"/>
        <v>1</v>
      </c>
      <c r="L5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53" s="10">
        <f>IF(Stakeholders!$D$2="Potential",K53,
      IF(K53&lt;0,MAX(K53,L53),MAX(MIN(K53,L53),0)))</f>
        <v>1</v>
      </c>
    </row>
    <row r="54" spans="1:13" x14ac:dyDescent="0.3">
      <c r="A54" s="1" t="str">
        <f t="shared" si="35"/>
        <v>G53</v>
      </c>
      <c r="C54" s="73" t="s">
        <v>215</v>
      </c>
      <c r="D54" s="73" t="s">
        <v>227</v>
      </c>
      <c r="E54" s="1" t="s">
        <v>38</v>
      </c>
      <c r="F54" s="1" t="s">
        <v>8</v>
      </c>
      <c r="G54" s="10">
        <v>1</v>
      </c>
      <c r="H54" s="1" t="s">
        <v>270</v>
      </c>
      <c r="I54" s="1" t="b">
        <f t="shared" si="26"/>
        <v>1</v>
      </c>
      <c r="J54" s="1" t="b">
        <f t="shared" si="27"/>
        <v>1</v>
      </c>
      <c r="K54" s="10">
        <f t="shared" si="5"/>
        <v>1</v>
      </c>
      <c r="L5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54" s="10">
        <f>IF(Stakeholders!$D$2="Potential",K54,
      IF(K54&lt;0,MAX(K54,L54),MAX(MIN(K54,L54),0)))</f>
        <v>1</v>
      </c>
    </row>
    <row r="55" spans="1:13" x14ac:dyDescent="0.3">
      <c r="A55" s="1" t="str">
        <f t="shared" si="35"/>
        <v>R54</v>
      </c>
      <c r="B55" s="1" t="str">
        <f t="shared" si="8"/>
        <v>Risk</v>
      </c>
      <c r="C55" s="73" t="s">
        <v>232</v>
      </c>
      <c r="D55" s="73"/>
      <c r="E55" s="1" t="s">
        <v>39</v>
      </c>
      <c r="F55" s="1" t="s">
        <v>3</v>
      </c>
      <c r="G55" s="10">
        <v>-1</v>
      </c>
      <c r="H55" s="1" t="s">
        <v>271</v>
      </c>
      <c r="I55" s="1" t="b">
        <f t="shared" si="26"/>
        <v>1</v>
      </c>
      <c r="J55" s="1" t="b">
        <f t="shared" si="27"/>
        <v>1</v>
      </c>
      <c r="K55" s="10">
        <f t="shared" si="5"/>
        <v>-1</v>
      </c>
      <c r="L5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55" s="10">
        <f>IF(Stakeholders!$D$2="Potential",K55,
      IF(K55&lt;0,MAX(K55,L55),MAX(MIN(K55,L55),0)))</f>
        <v>-1</v>
      </c>
    </row>
    <row r="56" spans="1:13" ht="28.8" x14ac:dyDescent="0.3">
      <c r="A56" s="1" t="str">
        <f t="shared" si="35"/>
        <v>G55</v>
      </c>
      <c r="B56" s="1" t="str">
        <f t="shared" si="8"/>
        <v>Goal</v>
      </c>
      <c r="C56" s="73" t="s">
        <v>232</v>
      </c>
      <c r="D56" s="73"/>
      <c r="E56" s="1" t="s">
        <v>39</v>
      </c>
      <c r="F56" s="1" t="s">
        <v>6</v>
      </c>
      <c r="G56" s="10">
        <v>1</v>
      </c>
      <c r="H56" s="1" t="s">
        <v>139</v>
      </c>
      <c r="I56" s="1" t="b">
        <f t="shared" si="26"/>
        <v>1</v>
      </c>
      <c r="J56" s="1" t="b">
        <f t="shared" si="27"/>
        <v>1</v>
      </c>
      <c r="K56" s="10">
        <f t="shared" si="5"/>
        <v>1</v>
      </c>
      <c r="L5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56" s="10">
        <f>IF(Stakeholders!$D$2="Potential",K56,
      IF(K56&lt;0,MAX(K56,L56),MAX(MIN(K56,L56),0)))</f>
        <v>1</v>
      </c>
    </row>
    <row r="57" spans="1:13" x14ac:dyDescent="0.3">
      <c r="A57" s="1" t="str">
        <f t="shared" ref="A57" si="48">IF(ISBLANK(G57),"",IF(G57&gt;0,"G","R")&amp;TEXT(ROW()-1,"00"))</f>
        <v>R56</v>
      </c>
      <c r="B57" s="1" t="str">
        <f t="shared" ref="B57" si="49">IF(LEN(A57)&gt;0,VLOOKUP(MID(A57,1,1),Abbreviations,2,FALSE),"")</f>
        <v>Risk</v>
      </c>
      <c r="C57" s="73" t="s">
        <v>232</v>
      </c>
      <c r="D57" s="73"/>
      <c r="E57" s="1" t="s">
        <v>39</v>
      </c>
      <c r="F57" s="1" t="s">
        <v>71</v>
      </c>
      <c r="G57" s="10">
        <v>-1</v>
      </c>
      <c r="H57" s="1" t="s">
        <v>272</v>
      </c>
      <c r="I57" s="1" t="b">
        <f t="shared" si="26"/>
        <v>1</v>
      </c>
      <c r="J57" s="1" t="b">
        <f t="shared" si="27"/>
        <v>1</v>
      </c>
      <c r="K57" s="10">
        <f t="shared" si="5"/>
        <v>-1</v>
      </c>
      <c r="L5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57" s="10">
        <f>IF(Stakeholders!$D$2="Potential",K57,
      IF(K57&lt;0,MAX(K57,L57),MAX(MIN(K57,L57),0)))</f>
        <v>-1</v>
      </c>
    </row>
    <row r="58" spans="1:13" ht="28.8" x14ac:dyDescent="0.3">
      <c r="A58" s="1" t="str">
        <f t="shared" si="35"/>
        <v>G57</v>
      </c>
      <c r="B58" s="1" t="str">
        <f t="shared" si="8"/>
        <v>Goal</v>
      </c>
      <c r="C58" s="73" t="s">
        <v>232</v>
      </c>
      <c r="D58" s="73"/>
      <c r="E58" s="1" t="s">
        <v>39</v>
      </c>
      <c r="F58" s="1" t="s">
        <v>7</v>
      </c>
      <c r="G58" s="10">
        <v>1</v>
      </c>
      <c r="H58" s="1" t="s">
        <v>79</v>
      </c>
      <c r="I58" s="1" t="b">
        <f t="shared" si="26"/>
        <v>1</v>
      </c>
      <c r="J58" s="1" t="b">
        <f t="shared" si="27"/>
        <v>1</v>
      </c>
      <c r="K58" s="10">
        <f t="shared" si="5"/>
        <v>1</v>
      </c>
      <c r="L5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58" s="10">
        <f>IF(Stakeholders!$D$2="Potential",K58,
      IF(K58&lt;0,MAX(K58,L58),MAX(MIN(K58,L58),0)))</f>
        <v>1</v>
      </c>
    </row>
    <row r="59" spans="1:13" x14ac:dyDescent="0.3">
      <c r="A59" s="1" t="str">
        <f t="shared" si="35"/>
        <v>G58</v>
      </c>
      <c r="B59" s="1" t="str">
        <f t="shared" si="8"/>
        <v>Goal</v>
      </c>
      <c r="C59" s="73" t="s">
        <v>232</v>
      </c>
      <c r="D59" s="73"/>
      <c r="E59" s="1" t="s">
        <v>39</v>
      </c>
      <c r="F59" s="1" t="s">
        <v>8</v>
      </c>
      <c r="G59" s="10">
        <v>1</v>
      </c>
      <c r="H59" s="1" t="s">
        <v>80</v>
      </c>
      <c r="I59" s="1" t="b">
        <f t="shared" si="26"/>
        <v>1</v>
      </c>
      <c r="J59" s="1" t="b">
        <f t="shared" si="27"/>
        <v>1</v>
      </c>
      <c r="K59" s="10">
        <f t="shared" si="5"/>
        <v>1</v>
      </c>
      <c r="L5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59" s="10">
        <f>IF(Stakeholders!$D$2="Potential",K59,
      IF(K59&lt;0,MAX(K59,L59),MAX(MIN(K59,L59),0)))</f>
        <v>1</v>
      </c>
    </row>
    <row r="60" spans="1:13" ht="28.8" x14ac:dyDescent="0.3">
      <c r="A60" s="1" t="str">
        <f t="shared" si="35"/>
        <v>R59</v>
      </c>
      <c r="B60" s="1" t="str">
        <f t="shared" ref="B60" si="50">IF(LEN(A60)&gt;0,VLOOKUP(MID(A60,1,1),Abbreviations,2,FALSE),"")</f>
        <v>Risk</v>
      </c>
      <c r="C60" s="73" t="s">
        <v>232</v>
      </c>
      <c r="D60" s="73"/>
      <c r="E60" s="1" t="s">
        <v>39</v>
      </c>
      <c r="F60" s="1" t="s">
        <v>8</v>
      </c>
      <c r="G60" s="10">
        <v>-1</v>
      </c>
      <c r="H60" s="1" t="s">
        <v>273</v>
      </c>
      <c r="I60" s="1" t="b">
        <f t="shared" si="26"/>
        <v>1</v>
      </c>
      <c r="J60" s="1" t="b">
        <f t="shared" si="27"/>
        <v>1</v>
      </c>
      <c r="K60" s="10">
        <f t="shared" si="5"/>
        <v>-1</v>
      </c>
      <c r="L6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60" s="10">
        <f>IF(Stakeholders!$D$2="Potential",K60,
      IF(K60&lt;0,MAX(K60,L60),MAX(MIN(K60,L60),0)))</f>
        <v>-1</v>
      </c>
    </row>
    <row r="61" spans="1:13" ht="28.8" x14ac:dyDescent="0.3">
      <c r="A61" s="1" t="str">
        <f t="shared" ref="A61:A67" si="51">IF(ISBLANK(G61),"",IF(G61&gt;0,"G","R")&amp;TEXT(ROW()-1,"00"))</f>
        <v>R60</v>
      </c>
      <c r="B61" s="1" t="str">
        <f t="shared" ref="B61:B67" si="52">IF(LEN(A61)&gt;0,VLOOKUP(MID(A61,1,1),Abbreviations,2,FALSE),"")</f>
        <v>Risk</v>
      </c>
      <c r="C61" s="73" t="s">
        <v>225</v>
      </c>
      <c r="D61" s="73"/>
      <c r="E61" s="1" t="s">
        <v>89</v>
      </c>
      <c r="F61" s="1" t="s">
        <v>71</v>
      </c>
      <c r="G61" s="10">
        <v>-2</v>
      </c>
      <c r="H61" s="1" t="s">
        <v>86</v>
      </c>
      <c r="I61" s="1" t="b">
        <f t="shared" si="26"/>
        <v>1</v>
      </c>
      <c r="J61" s="1" t="b">
        <f t="shared" si="27"/>
        <v>1</v>
      </c>
      <c r="K61" s="10">
        <f t="shared" si="5"/>
        <v>-2</v>
      </c>
      <c r="L6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61" s="10">
        <f>IF(Stakeholders!$D$2="Potential",K61,
      IF(K61&lt;0,MAX(K61,L61),MAX(MIN(K61,L61),0)))</f>
        <v>-2</v>
      </c>
    </row>
    <row r="62" spans="1:13" ht="28.8" x14ac:dyDescent="0.3">
      <c r="A62" s="1" t="str">
        <f t="shared" si="51"/>
        <v>R61</v>
      </c>
      <c r="B62" s="1" t="str">
        <f t="shared" si="52"/>
        <v>Risk</v>
      </c>
      <c r="C62" s="73" t="s">
        <v>225</v>
      </c>
      <c r="D62" s="73"/>
      <c r="E62" s="1" t="s">
        <v>89</v>
      </c>
      <c r="F62" s="1" t="s">
        <v>71</v>
      </c>
      <c r="G62" s="10">
        <v>-2</v>
      </c>
      <c r="H62" s="1" t="s">
        <v>87</v>
      </c>
      <c r="I62" s="1" t="b">
        <f t="shared" si="26"/>
        <v>1</v>
      </c>
      <c r="J62" s="1" t="b">
        <f t="shared" si="27"/>
        <v>1</v>
      </c>
      <c r="K62" s="10">
        <f t="shared" si="5"/>
        <v>-2</v>
      </c>
      <c r="L6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62" s="10">
        <f>IF(Stakeholders!$D$2="Potential",K62,
      IF(K62&lt;0,MAX(K62,L62),MAX(MIN(K62,L62),0)))</f>
        <v>-2</v>
      </c>
    </row>
    <row r="63" spans="1:13" x14ac:dyDescent="0.3">
      <c r="A63" s="1" t="str">
        <f t="shared" si="51"/>
        <v>G62</v>
      </c>
      <c r="B63" s="1" t="str">
        <f t="shared" si="52"/>
        <v>Goal</v>
      </c>
      <c r="C63" s="73" t="s">
        <v>225</v>
      </c>
      <c r="D63" s="73"/>
      <c r="E63" s="1" t="s">
        <v>89</v>
      </c>
      <c r="F63" s="1" t="s">
        <v>7</v>
      </c>
      <c r="G63" s="10">
        <v>1</v>
      </c>
      <c r="H63" s="11" t="s">
        <v>94</v>
      </c>
      <c r="I63" s="1" t="b">
        <f t="shared" si="26"/>
        <v>1</v>
      </c>
      <c r="J63" s="1" t="b">
        <f t="shared" si="27"/>
        <v>1</v>
      </c>
      <c r="K63" s="10">
        <f t="shared" si="5"/>
        <v>1</v>
      </c>
      <c r="L6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63" s="10">
        <f>IF(Stakeholders!$D$2="Potential",K63,
      IF(K63&lt;0,MAX(K63,L63),MAX(MIN(K63,L63),0)))</f>
        <v>1</v>
      </c>
    </row>
    <row r="64" spans="1:13" x14ac:dyDescent="0.3">
      <c r="A64" s="1" t="str">
        <f t="shared" si="51"/>
        <v>R63</v>
      </c>
      <c r="B64" s="1" t="str">
        <f t="shared" si="52"/>
        <v>Risk</v>
      </c>
      <c r="C64" s="73" t="s">
        <v>225</v>
      </c>
      <c r="D64" s="73"/>
      <c r="E64" s="1" t="s">
        <v>89</v>
      </c>
      <c r="F64" s="1" t="s">
        <v>7</v>
      </c>
      <c r="G64" s="10">
        <v>-1</v>
      </c>
      <c r="H64" s="11" t="s">
        <v>95</v>
      </c>
      <c r="I64" s="1" t="b">
        <f t="shared" si="26"/>
        <v>1</v>
      </c>
      <c r="J64" s="1" t="b">
        <f t="shared" si="27"/>
        <v>1</v>
      </c>
      <c r="K64" s="10">
        <f t="shared" si="5"/>
        <v>-1</v>
      </c>
      <c r="L6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64" s="10">
        <f>IF(Stakeholders!$D$2="Potential",K64,
      IF(K64&lt;0,MAX(K64,L64),MAX(MIN(K64,L64),0)))</f>
        <v>-1</v>
      </c>
    </row>
    <row r="65" spans="1:13" ht="28.8" x14ac:dyDescent="0.3">
      <c r="A65" s="1" t="str">
        <f t="shared" si="51"/>
        <v>G64</v>
      </c>
      <c r="B65" s="1" t="str">
        <f t="shared" si="52"/>
        <v>Goal</v>
      </c>
      <c r="C65" s="73" t="s">
        <v>225</v>
      </c>
      <c r="D65" s="73"/>
      <c r="E65" s="1" t="s">
        <v>89</v>
      </c>
      <c r="F65" s="1" t="s">
        <v>8</v>
      </c>
      <c r="G65" s="10">
        <v>2</v>
      </c>
      <c r="H65" s="1" t="s">
        <v>274</v>
      </c>
      <c r="I65" s="1" t="b">
        <f t="shared" si="26"/>
        <v>1</v>
      </c>
      <c r="J65" s="1" t="b">
        <f t="shared" si="27"/>
        <v>1</v>
      </c>
      <c r="K65" s="10">
        <f t="shared" si="5"/>
        <v>2</v>
      </c>
      <c r="L6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2</v>
      </c>
      <c r="M65" s="10">
        <f>IF(Stakeholders!$D$2="Potential",K65,
      IF(K65&lt;0,MAX(K65,L65),MAX(MIN(K65,L65),0)))</f>
        <v>2</v>
      </c>
    </row>
    <row r="66" spans="1:13" ht="28.8" x14ac:dyDescent="0.3">
      <c r="A66" s="1" t="str">
        <f t="shared" si="51"/>
        <v>R65</v>
      </c>
      <c r="B66" s="1" t="str">
        <f t="shared" si="52"/>
        <v>Risk</v>
      </c>
      <c r="C66" s="73" t="s">
        <v>225</v>
      </c>
      <c r="D66" s="73"/>
      <c r="E66" s="1" t="s">
        <v>89</v>
      </c>
      <c r="F66" s="1" t="s">
        <v>4</v>
      </c>
      <c r="G66" s="10">
        <v>-2</v>
      </c>
      <c r="H66" s="11" t="s">
        <v>275</v>
      </c>
      <c r="I66" s="1" t="b">
        <f t="shared" ref="I66:I97" si="53">IF(ISBLANK(C66),TRUE,VLOOKUP(C66,Scens_With_All_Data,4,FALSE))</f>
        <v>1</v>
      </c>
      <c r="J66" s="1" t="b">
        <f t="shared" ref="J66:J97" si="54">IF(ISBLANK(D66),TRUE,VLOOKUP(D66,Scens_With_All_Data,4,FALSE))</f>
        <v>1</v>
      </c>
      <c r="K66" s="10">
        <f t="shared" si="5"/>
        <v>-2</v>
      </c>
      <c r="L6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66" s="10">
        <f>IF(Stakeholders!$D$2="Potential",K66,
      IF(K66&lt;0,MAX(K66,L66),MAX(MIN(K66,L66),0)))</f>
        <v>-2</v>
      </c>
    </row>
    <row r="67" spans="1:13" x14ac:dyDescent="0.3">
      <c r="A67" s="1" t="str">
        <f t="shared" si="51"/>
        <v>R66</v>
      </c>
      <c r="B67" s="1" t="str">
        <f t="shared" si="52"/>
        <v>Risk</v>
      </c>
      <c r="C67" s="73"/>
      <c r="D67" s="73"/>
      <c r="E67" s="1" t="s">
        <v>40</v>
      </c>
      <c r="F67" s="1" t="s">
        <v>4</v>
      </c>
      <c r="G67" s="10">
        <v>-2</v>
      </c>
      <c r="H67" s="1" t="s">
        <v>277</v>
      </c>
      <c r="I67" s="1" t="b">
        <f t="shared" si="53"/>
        <v>1</v>
      </c>
      <c r="J67" s="1" t="b">
        <f t="shared" si="54"/>
        <v>1</v>
      </c>
      <c r="K67" s="10">
        <f t="shared" si="5"/>
        <v>-2</v>
      </c>
      <c r="L6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67" s="10">
        <f>IF(Stakeholders!$D$2="Potential",K67,
      IF(K67&lt;0,MAX(K67,L67),MAX(MIN(K67,L67),0)))</f>
        <v>-2</v>
      </c>
    </row>
    <row r="68" spans="1:13" x14ac:dyDescent="0.3">
      <c r="A68" s="1" t="str">
        <f t="shared" si="35"/>
        <v>R67</v>
      </c>
      <c r="B68" s="1" t="str">
        <f t="shared" si="8"/>
        <v>Risk</v>
      </c>
      <c r="C68" s="73"/>
      <c r="D68" s="73"/>
      <c r="E68" s="1" t="s">
        <v>40</v>
      </c>
      <c r="F68" s="1" t="s">
        <v>71</v>
      </c>
      <c r="G68" s="10">
        <v>-2</v>
      </c>
      <c r="H68" s="1" t="s">
        <v>276</v>
      </c>
      <c r="I68" s="1" t="b">
        <f t="shared" si="53"/>
        <v>1</v>
      </c>
      <c r="J68" s="1" t="b">
        <f t="shared" si="54"/>
        <v>1</v>
      </c>
      <c r="K68" s="10">
        <f t="shared" si="5"/>
        <v>-2</v>
      </c>
      <c r="L6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68" s="10">
        <f>IF(Stakeholders!$D$2="Potential",K68,
      IF(K68&lt;0,MAX(K68,L68),MAX(MIN(K68,L68),0)))</f>
        <v>-2</v>
      </c>
    </row>
    <row r="69" spans="1:13" x14ac:dyDescent="0.3">
      <c r="A69" s="1" t="str">
        <f t="shared" si="35"/>
        <v>G68</v>
      </c>
      <c r="B69" s="1" t="str">
        <f t="shared" si="8"/>
        <v>Goal</v>
      </c>
      <c r="C69" s="73"/>
      <c r="D69" s="73"/>
      <c r="E69" s="1" t="s">
        <v>40</v>
      </c>
      <c r="F69" s="1" t="s">
        <v>7</v>
      </c>
      <c r="G69" s="10">
        <v>2</v>
      </c>
      <c r="H69" s="1" t="s">
        <v>85</v>
      </c>
      <c r="I69" s="1" t="b">
        <f t="shared" si="53"/>
        <v>1</v>
      </c>
      <c r="J69" s="1" t="b">
        <f t="shared" si="54"/>
        <v>1</v>
      </c>
      <c r="K69" s="10">
        <f t="shared" si="5"/>
        <v>2</v>
      </c>
      <c r="L6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69" s="10">
        <f>IF(Stakeholders!$D$2="Potential",K69,
      IF(K69&lt;0,MAX(K69,L69),MAX(MIN(K69,L69),0)))</f>
        <v>2</v>
      </c>
    </row>
    <row r="70" spans="1:13" ht="28.8" x14ac:dyDescent="0.3">
      <c r="A70" s="1" t="str">
        <f t="shared" si="35"/>
        <v>R69</v>
      </c>
      <c r="B70" s="1" t="str">
        <f t="shared" si="8"/>
        <v>Risk</v>
      </c>
      <c r="C70" s="73" t="s">
        <v>225</v>
      </c>
      <c r="D70" s="73"/>
      <c r="E70" s="1" t="s">
        <v>40</v>
      </c>
      <c r="F70" s="1" t="s">
        <v>7</v>
      </c>
      <c r="G70" s="10">
        <v>-2</v>
      </c>
      <c r="H70" s="1" t="s">
        <v>90</v>
      </c>
      <c r="I70" s="1" t="b">
        <f t="shared" si="53"/>
        <v>1</v>
      </c>
      <c r="J70" s="1" t="b">
        <f t="shared" si="54"/>
        <v>1</v>
      </c>
      <c r="K70" s="10">
        <f t="shared" ref="K70:K118" si="55">IF(AND(I70,J70),G70,0)</f>
        <v>-2</v>
      </c>
      <c r="L7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70" s="10">
        <f>IF(Stakeholders!$D$2="Potential",K70,
      IF(K70&lt;0,MAX(K70,L70),MAX(MIN(K70,L70),0)))</f>
        <v>-2</v>
      </c>
    </row>
    <row r="71" spans="1:13" x14ac:dyDescent="0.3">
      <c r="A71" s="1" t="str">
        <f t="shared" ref="A71" si="56">IF(ISBLANK(G71),"",IF(G71&gt;0,"G","R")&amp;TEXT(ROW()-1,"00"))</f>
        <v>G70</v>
      </c>
      <c r="B71" s="1" t="str">
        <f t="shared" ref="B71" si="57">IF(LEN(A71)&gt;0,VLOOKUP(MID(A71,1,1),Abbreviations,2,FALSE),"")</f>
        <v>Goal</v>
      </c>
      <c r="C71" s="73" t="s">
        <v>225</v>
      </c>
      <c r="D71" s="73"/>
      <c r="E71" s="1" t="s">
        <v>40</v>
      </c>
      <c r="F71" s="1" t="s">
        <v>7</v>
      </c>
      <c r="G71" s="10">
        <v>2</v>
      </c>
      <c r="H71" s="1" t="s">
        <v>278</v>
      </c>
      <c r="I71" s="1" t="b">
        <f t="shared" si="53"/>
        <v>1</v>
      </c>
      <c r="J71" s="1" t="b">
        <f t="shared" si="54"/>
        <v>1</v>
      </c>
      <c r="K71" s="10">
        <f t="shared" si="55"/>
        <v>2</v>
      </c>
      <c r="L7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71" s="10">
        <f>IF(Stakeholders!$D$2="Potential",K71,
      IF(K71&lt;0,MAX(K71,L71),MAX(MIN(K71,L71),0)))</f>
        <v>2</v>
      </c>
    </row>
    <row r="72" spans="1:13" x14ac:dyDescent="0.3">
      <c r="A72" s="1" t="str">
        <f t="shared" si="35"/>
        <v>G71</v>
      </c>
      <c r="B72" s="1" t="str">
        <f t="shared" si="8"/>
        <v>Goal</v>
      </c>
      <c r="C72" s="73"/>
      <c r="D72" s="73"/>
      <c r="E72" s="1" t="s">
        <v>40</v>
      </c>
      <c r="F72" s="11" t="s">
        <v>8</v>
      </c>
      <c r="G72" s="10">
        <v>2</v>
      </c>
      <c r="H72" s="1" t="s">
        <v>211</v>
      </c>
      <c r="I72" s="1" t="b">
        <f t="shared" si="53"/>
        <v>1</v>
      </c>
      <c r="J72" s="1" t="b">
        <f t="shared" si="54"/>
        <v>1</v>
      </c>
      <c r="K72" s="10">
        <f t="shared" si="55"/>
        <v>2</v>
      </c>
      <c r="L7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2</v>
      </c>
      <c r="M72" s="10">
        <f>IF(Stakeholders!$D$2="Potential",K72,
      IF(K72&lt;0,MAX(K72,L72),MAX(MIN(K72,L72),0)))</f>
        <v>2</v>
      </c>
    </row>
    <row r="73" spans="1:13" x14ac:dyDescent="0.3">
      <c r="A73" s="1" t="str">
        <f t="shared" si="35"/>
        <v>G72</v>
      </c>
      <c r="B73" s="1" t="str">
        <f t="shared" si="8"/>
        <v>Goal</v>
      </c>
      <c r="C73" s="73"/>
      <c r="D73" s="73"/>
      <c r="E73" s="1" t="s">
        <v>41</v>
      </c>
      <c r="F73" s="1" t="s">
        <v>1</v>
      </c>
      <c r="G73" s="10">
        <v>1</v>
      </c>
      <c r="H73" s="1" t="s">
        <v>91</v>
      </c>
      <c r="I73" s="1" t="b">
        <f t="shared" si="53"/>
        <v>1</v>
      </c>
      <c r="J73" s="1" t="b">
        <f t="shared" si="54"/>
        <v>1</v>
      </c>
      <c r="K73" s="10">
        <f t="shared" si="55"/>
        <v>1</v>
      </c>
      <c r="L7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73" s="10">
        <f>IF(Stakeholders!$D$2="Potential",K73,
      IF(K73&lt;0,MAX(K73,L73),MAX(MIN(K73,L73),0)))</f>
        <v>1</v>
      </c>
    </row>
    <row r="74" spans="1:13" x14ac:dyDescent="0.3">
      <c r="A74" s="1" t="str">
        <f t="shared" si="35"/>
        <v>G73</v>
      </c>
      <c r="B74" s="1" t="str">
        <f t="shared" si="8"/>
        <v>Goal</v>
      </c>
      <c r="C74" s="73"/>
      <c r="D74" s="73"/>
      <c r="E74" s="1" t="s">
        <v>41</v>
      </c>
      <c r="F74" s="1" t="s">
        <v>5</v>
      </c>
      <c r="G74" s="10">
        <v>1</v>
      </c>
      <c r="H74" s="1" t="s">
        <v>92</v>
      </c>
      <c r="I74" s="1" t="b">
        <f t="shared" si="53"/>
        <v>1</v>
      </c>
      <c r="J74" s="1" t="b">
        <f t="shared" si="54"/>
        <v>1</v>
      </c>
      <c r="K74" s="10">
        <f t="shared" si="55"/>
        <v>1</v>
      </c>
      <c r="L7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1</v>
      </c>
      <c r="M74" s="10">
        <f>IF(Stakeholders!$D$2="Potential",K74,
      IF(K74&lt;0,MAX(K74,L74),MAX(MIN(K74,L74),0)))</f>
        <v>1</v>
      </c>
    </row>
    <row r="75" spans="1:13" x14ac:dyDescent="0.3">
      <c r="A75" s="1" t="str">
        <f t="shared" si="35"/>
        <v>R74</v>
      </c>
      <c r="B75" s="1" t="str">
        <f t="shared" si="8"/>
        <v>Risk</v>
      </c>
      <c r="C75" s="73"/>
      <c r="D75" s="73"/>
      <c r="E75" s="1" t="s">
        <v>41</v>
      </c>
      <c r="F75" s="1" t="s">
        <v>4</v>
      </c>
      <c r="G75" s="10">
        <v>-1</v>
      </c>
      <c r="H75" s="1" t="s">
        <v>93</v>
      </c>
      <c r="I75" s="1" t="b">
        <f t="shared" si="53"/>
        <v>1</v>
      </c>
      <c r="J75" s="1" t="b">
        <f t="shared" si="54"/>
        <v>1</v>
      </c>
      <c r="K75" s="10">
        <f t="shared" si="55"/>
        <v>-1</v>
      </c>
      <c r="L7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0</v>
      </c>
      <c r="M75" s="10">
        <f>IF(Stakeholders!$D$2="Potential",K75,
      IF(K75&lt;0,MAX(K75,L75),MAX(MIN(K75,L75),0)))</f>
        <v>-1</v>
      </c>
    </row>
    <row r="76" spans="1:13" x14ac:dyDescent="0.3">
      <c r="A76" s="1" t="str">
        <f t="shared" si="35"/>
        <v/>
      </c>
      <c r="B76" s="1" t="str">
        <f t="shared" si="8"/>
        <v/>
      </c>
      <c r="G76" s="10"/>
      <c r="I76" s="1" t="b">
        <f t="shared" si="53"/>
        <v>1</v>
      </c>
      <c r="J76" s="1" t="b">
        <f t="shared" si="54"/>
        <v>1</v>
      </c>
      <c r="K76" s="10">
        <f t="shared" si="55"/>
        <v>0</v>
      </c>
      <c r="L7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76" s="10">
        <f>IF(Stakeholders!$D$2="Potential",K76,
      IF(K76&lt;0,MAX(K76,L76),MAX(MIN(K76,L76),0)))</f>
        <v>0</v>
      </c>
    </row>
    <row r="77" spans="1:13" x14ac:dyDescent="0.3">
      <c r="A77" s="1" t="str">
        <f t="shared" si="14"/>
        <v/>
      </c>
      <c r="B77" s="1" t="str">
        <f t="shared" si="8"/>
        <v/>
      </c>
      <c r="G77" s="10"/>
      <c r="I77" s="1" t="b">
        <f t="shared" si="53"/>
        <v>1</v>
      </c>
      <c r="J77" s="1" t="b">
        <f t="shared" si="54"/>
        <v>1</v>
      </c>
      <c r="K77" s="10">
        <f t="shared" si="55"/>
        <v>0</v>
      </c>
      <c r="L7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77" s="10">
        <f>IF(Stakeholders!$D$2="Potential",K77,
      IF(K77&lt;0,MAX(K77,L77),MAX(MIN(K77,L77),0)))</f>
        <v>0</v>
      </c>
    </row>
    <row r="78" spans="1:13" x14ac:dyDescent="0.3">
      <c r="A78" s="1" t="str">
        <f t="shared" si="14"/>
        <v/>
      </c>
      <c r="B78" s="1" t="str">
        <f t="shared" si="8"/>
        <v/>
      </c>
      <c r="G78" s="10"/>
      <c r="I78" s="1" t="b">
        <f t="shared" si="53"/>
        <v>1</v>
      </c>
      <c r="J78" s="1" t="b">
        <f t="shared" si="54"/>
        <v>1</v>
      </c>
      <c r="K78" s="10">
        <f t="shared" si="55"/>
        <v>0</v>
      </c>
      <c r="L7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78" s="10">
        <f>IF(Stakeholders!$D$2="Potential",K78,
      IF(K78&lt;0,MAX(K78,L78),MAX(MIN(K78,L78),0)))</f>
        <v>0</v>
      </c>
    </row>
    <row r="79" spans="1:13" x14ac:dyDescent="0.3">
      <c r="A79" s="1" t="str">
        <f t="shared" si="14"/>
        <v/>
      </c>
      <c r="B79" s="1" t="str">
        <f t="shared" si="8"/>
        <v/>
      </c>
      <c r="G79" s="10"/>
      <c r="I79" s="1" t="b">
        <f t="shared" si="53"/>
        <v>1</v>
      </c>
      <c r="J79" s="1" t="b">
        <f t="shared" si="54"/>
        <v>1</v>
      </c>
      <c r="K79" s="10">
        <f t="shared" si="55"/>
        <v>0</v>
      </c>
      <c r="L7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79" s="10">
        <f>IF(Stakeholders!$D$2="Potential",K79,
      IF(K79&lt;0,MAX(K79,L79),MAX(MIN(K79,L79),0)))</f>
        <v>0</v>
      </c>
    </row>
    <row r="80" spans="1:13" x14ac:dyDescent="0.3">
      <c r="A80" s="1" t="str">
        <f t="shared" si="14"/>
        <v/>
      </c>
      <c r="B80" s="1" t="str">
        <f t="shared" si="8"/>
        <v/>
      </c>
      <c r="G80" s="10"/>
      <c r="I80" s="1" t="b">
        <f t="shared" si="53"/>
        <v>1</v>
      </c>
      <c r="J80" s="1" t="b">
        <f t="shared" si="54"/>
        <v>1</v>
      </c>
      <c r="K80" s="10">
        <f t="shared" si="55"/>
        <v>0</v>
      </c>
      <c r="L8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80" s="10">
        <f>IF(Stakeholders!$D$2="Potential",K80,
      IF(K80&lt;0,MAX(K80,L80),MAX(MIN(K80,L80),0)))</f>
        <v>0</v>
      </c>
    </row>
    <row r="81" spans="1:13" x14ac:dyDescent="0.3">
      <c r="A81" s="1" t="str">
        <f t="shared" si="14"/>
        <v/>
      </c>
      <c r="B81" s="1" t="str">
        <f t="shared" si="8"/>
        <v/>
      </c>
      <c r="G81" s="10"/>
      <c r="I81" s="1" t="b">
        <f t="shared" si="53"/>
        <v>1</v>
      </c>
      <c r="J81" s="1" t="b">
        <f t="shared" si="54"/>
        <v>1</v>
      </c>
      <c r="K81" s="10">
        <f t="shared" si="55"/>
        <v>0</v>
      </c>
      <c r="L8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81" s="10">
        <f>IF(Stakeholders!$D$2="Potential",K81,
      IF(K81&lt;0,MAX(K81,L81),MAX(MIN(K81,L81),0)))</f>
        <v>0</v>
      </c>
    </row>
    <row r="82" spans="1:13" x14ac:dyDescent="0.3">
      <c r="A82" s="1" t="str">
        <f t="shared" si="14"/>
        <v/>
      </c>
      <c r="B82" s="1" t="str">
        <f t="shared" si="8"/>
        <v/>
      </c>
      <c r="G82" s="10"/>
      <c r="I82" s="1" t="b">
        <f t="shared" si="53"/>
        <v>1</v>
      </c>
      <c r="J82" s="1" t="b">
        <f t="shared" si="54"/>
        <v>1</v>
      </c>
      <c r="K82" s="10">
        <f t="shared" si="55"/>
        <v>0</v>
      </c>
      <c r="L8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82" s="10">
        <f>IF(Stakeholders!$D$2="Potential",K82,
      IF(K82&lt;0,MAX(K82,L82),MAX(MIN(K82,L82),0)))</f>
        <v>0</v>
      </c>
    </row>
    <row r="83" spans="1:13" x14ac:dyDescent="0.3">
      <c r="A83" s="1" t="str">
        <f t="shared" si="14"/>
        <v/>
      </c>
      <c r="B83" s="1" t="str">
        <f t="shared" si="8"/>
        <v/>
      </c>
      <c r="G83" s="10"/>
      <c r="I83" s="1" t="b">
        <f t="shared" si="53"/>
        <v>1</v>
      </c>
      <c r="J83" s="1" t="b">
        <f t="shared" si="54"/>
        <v>1</v>
      </c>
      <c r="K83" s="10">
        <f t="shared" si="55"/>
        <v>0</v>
      </c>
      <c r="L8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83" s="10">
        <f>IF(Stakeholders!$D$2="Potential",K83,
      IF(K83&lt;0,MAX(K83,L83),MAX(MIN(K83,L83),0)))</f>
        <v>0</v>
      </c>
    </row>
    <row r="84" spans="1:13" x14ac:dyDescent="0.3">
      <c r="A84" s="1" t="str">
        <f t="shared" si="14"/>
        <v/>
      </c>
      <c r="B84" s="1" t="str">
        <f t="shared" si="8"/>
        <v/>
      </c>
      <c r="G84" s="10"/>
      <c r="I84" s="1" t="b">
        <f t="shared" si="53"/>
        <v>1</v>
      </c>
      <c r="J84" s="1" t="b">
        <f t="shared" si="54"/>
        <v>1</v>
      </c>
      <c r="K84" s="10">
        <f t="shared" si="55"/>
        <v>0</v>
      </c>
      <c r="L8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84" s="10">
        <f>IF(Stakeholders!$D$2="Potential",K84,
      IF(K84&lt;0,MAX(K84,L84),MAX(MIN(K84,L84),0)))</f>
        <v>0</v>
      </c>
    </row>
    <row r="85" spans="1:13" x14ac:dyDescent="0.3">
      <c r="A85" s="1" t="str">
        <f t="shared" si="14"/>
        <v/>
      </c>
      <c r="B85" s="1" t="str">
        <f t="shared" si="8"/>
        <v/>
      </c>
      <c r="G85" s="10"/>
      <c r="I85" s="1" t="b">
        <f t="shared" si="53"/>
        <v>1</v>
      </c>
      <c r="J85" s="1" t="b">
        <f t="shared" si="54"/>
        <v>1</v>
      </c>
      <c r="K85" s="10">
        <f t="shared" si="55"/>
        <v>0</v>
      </c>
      <c r="L8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85" s="10">
        <f>IF(Stakeholders!$D$2="Potential",K85,
      IF(K85&lt;0,MAX(K85,L85),MAX(MIN(K85,L85),0)))</f>
        <v>0</v>
      </c>
    </row>
    <row r="86" spans="1:13" x14ac:dyDescent="0.3">
      <c r="A86" s="1" t="str">
        <f t="shared" si="14"/>
        <v/>
      </c>
      <c r="B86" s="1" t="str">
        <f t="shared" ref="B86:B117" si="58">IF(LEN(A86)&gt;0,VLOOKUP(MID(A86,1,1),Abbreviations,2,FALSE),"")</f>
        <v/>
      </c>
      <c r="G86" s="10"/>
      <c r="I86" s="1" t="b">
        <f t="shared" si="53"/>
        <v>1</v>
      </c>
      <c r="J86" s="1" t="b">
        <f t="shared" si="54"/>
        <v>1</v>
      </c>
      <c r="K86" s="10">
        <f t="shared" si="55"/>
        <v>0</v>
      </c>
      <c r="L8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86" s="10">
        <f>IF(Stakeholders!$D$2="Potential",K86,
      IF(K86&lt;0,MAX(K86,L86),MAX(MIN(K86,L86),0)))</f>
        <v>0</v>
      </c>
    </row>
    <row r="87" spans="1:13" x14ac:dyDescent="0.3">
      <c r="A87" s="1" t="str">
        <f t="shared" si="14"/>
        <v/>
      </c>
      <c r="B87" s="1" t="str">
        <f t="shared" si="58"/>
        <v/>
      </c>
      <c r="G87" s="10"/>
      <c r="I87" s="1" t="b">
        <f t="shared" si="53"/>
        <v>1</v>
      </c>
      <c r="J87" s="1" t="b">
        <f t="shared" si="54"/>
        <v>1</v>
      </c>
      <c r="K87" s="10">
        <f t="shared" si="55"/>
        <v>0</v>
      </c>
      <c r="L8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87" s="10">
        <f>IF(Stakeholders!$D$2="Potential",K87,
      IF(K87&lt;0,MAX(K87,L87),MAX(MIN(K87,L87),0)))</f>
        <v>0</v>
      </c>
    </row>
    <row r="88" spans="1:13" x14ac:dyDescent="0.3">
      <c r="A88" s="1" t="str">
        <f t="shared" si="14"/>
        <v/>
      </c>
      <c r="B88" s="1" t="str">
        <f t="shared" si="58"/>
        <v/>
      </c>
      <c r="G88" s="10"/>
      <c r="I88" s="1" t="b">
        <f t="shared" si="53"/>
        <v>1</v>
      </c>
      <c r="J88" s="1" t="b">
        <f t="shared" si="54"/>
        <v>1</v>
      </c>
      <c r="K88" s="10">
        <f t="shared" si="55"/>
        <v>0</v>
      </c>
      <c r="L8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88" s="10">
        <f>IF(Stakeholders!$D$2="Potential",K88,
      IF(K88&lt;0,MAX(K88,L88),MAX(MIN(K88,L88),0)))</f>
        <v>0</v>
      </c>
    </row>
    <row r="89" spans="1:13" x14ac:dyDescent="0.3">
      <c r="A89" s="1" t="str">
        <f t="shared" si="14"/>
        <v/>
      </c>
      <c r="B89" s="1" t="str">
        <f t="shared" si="58"/>
        <v/>
      </c>
      <c r="G89" s="10"/>
      <c r="I89" s="1" t="b">
        <f t="shared" si="53"/>
        <v>1</v>
      </c>
      <c r="J89" s="1" t="b">
        <f t="shared" si="54"/>
        <v>1</v>
      </c>
      <c r="K89" s="10">
        <f t="shared" si="55"/>
        <v>0</v>
      </c>
      <c r="L8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89" s="10">
        <f>IF(Stakeholders!$D$2="Potential",K89,
      IF(K89&lt;0,MAX(K89,L89),MAX(MIN(K89,L89),0)))</f>
        <v>0</v>
      </c>
    </row>
    <row r="90" spans="1:13" x14ac:dyDescent="0.3">
      <c r="A90" s="1" t="str">
        <f t="shared" si="14"/>
        <v/>
      </c>
      <c r="B90" s="1" t="str">
        <f t="shared" si="58"/>
        <v/>
      </c>
      <c r="I90" s="1" t="b">
        <f t="shared" si="53"/>
        <v>1</v>
      </c>
      <c r="J90" s="1" t="b">
        <f t="shared" si="54"/>
        <v>1</v>
      </c>
      <c r="K90" s="10">
        <f t="shared" si="55"/>
        <v>0</v>
      </c>
      <c r="L9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90" s="10">
        <f>IF(Stakeholders!$D$2="Potential",K90,
      IF(K90&lt;0,MAX(K90,L90),MAX(MIN(K90,L90),0)))</f>
        <v>0</v>
      </c>
    </row>
    <row r="91" spans="1:13" x14ac:dyDescent="0.3">
      <c r="A91" s="1" t="str">
        <f t="shared" si="14"/>
        <v/>
      </c>
      <c r="B91" s="1" t="str">
        <f t="shared" si="58"/>
        <v/>
      </c>
      <c r="I91" s="1" t="b">
        <f t="shared" si="53"/>
        <v>1</v>
      </c>
      <c r="J91" s="1" t="b">
        <f t="shared" si="54"/>
        <v>1</v>
      </c>
      <c r="K91" s="10">
        <f t="shared" si="55"/>
        <v>0</v>
      </c>
      <c r="L9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91" s="10">
        <f>IF(Stakeholders!$D$2="Potential",K91,
      IF(K91&lt;0,MAX(K91,L91),MAX(MIN(K91,L91),0)))</f>
        <v>0</v>
      </c>
    </row>
    <row r="92" spans="1:13" x14ac:dyDescent="0.3">
      <c r="A92" s="1" t="str">
        <f t="shared" si="14"/>
        <v/>
      </c>
      <c r="B92" s="1" t="str">
        <f t="shared" si="58"/>
        <v/>
      </c>
      <c r="I92" s="1" t="b">
        <f t="shared" si="53"/>
        <v>1</v>
      </c>
      <c r="J92" s="1" t="b">
        <f t="shared" si="54"/>
        <v>1</v>
      </c>
      <c r="K92" s="10">
        <f t="shared" si="55"/>
        <v>0</v>
      </c>
      <c r="L9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92" s="10">
        <f>IF(Stakeholders!$D$2="Potential",K92,
      IF(K92&lt;0,MAX(K92,L92),MAX(MIN(K92,L92),0)))</f>
        <v>0</v>
      </c>
    </row>
    <row r="93" spans="1:13" x14ac:dyDescent="0.3">
      <c r="A93" s="1" t="str">
        <f t="shared" si="14"/>
        <v/>
      </c>
      <c r="B93" s="1" t="str">
        <f t="shared" si="58"/>
        <v/>
      </c>
      <c r="I93" s="1" t="b">
        <f t="shared" si="53"/>
        <v>1</v>
      </c>
      <c r="J93" s="1" t="b">
        <f t="shared" si="54"/>
        <v>1</v>
      </c>
      <c r="K93" s="10">
        <f t="shared" si="55"/>
        <v>0</v>
      </c>
      <c r="L9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93" s="10">
        <f>IF(Stakeholders!$D$2="Potential",K93,
      IF(K93&lt;0,MAX(K93,L93),MAX(MIN(K93,L93),0)))</f>
        <v>0</v>
      </c>
    </row>
    <row r="94" spans="1:13" x14ac:dyDescent="0.3">
      <c r="A94" s="1" t="str">
        <f t="shared" si="14"/>
        <v/>
      </c>
      <c r="B94" s="1" t="str">
        <f t="shared" si="58"/>
        <v/>
      </c>
      <c r="I94" s="1" t="b">
        <f t="shared" si="53"/>
        <v>1</v>
      </c>
      <c r="J94" s="1" t="b">
        <f t="shared" si="54"/>
        <v>1</v>
      </c>
      <c r="K94" s="10">
        <f t="shared" si="55"/>
        <v>0</v>
      </c>
      <c r="L9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94" s="10">
        <f>IF(Stakeholders!$D$2="Potential",K94,
      IF(K94&lt;0,MAX(K94,L94),MAX(MIN(K94,L94),0)))</f>
        <v>0</v>
      </c>
    </row>
    <row r="95" spans="1:13" x14ac:dyDescent="0.3">
      <c r="A95" s="1" t="str">
        <f t="shared" si="14"/>
        <v/>
      </c>
      <c r="B95" s="1" t="str">
        <f t="shared" si="58"/>
        <v/>
      </c>
      <c r="I95" s="1" t="b">
        <f t="shared" si="53"/>
        <v>1</v>
      </c>
      <c r="J95" s="1" t="b">
        <f t="shared" si="54"/>
        <v>1</v>
      </c>
      <c r="K95" s="10">
        <f t="shared" si="55"/>
        <v>0</v>
      </c>
      <c r="L9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95" s="10">
        <f>IF(Stakeholders!$D$2="Potential",K95,
      IF(K95&lt;0,MAX(K95,L95),MAX(MIN(K95,L95),0)))</f>
        <v>0</v>
      </c>
    </row>
    <row r="96" spans="1:13" x14ac:dyDescent="0.3">
      <c r="A96" s="1" t="str">
        <f t="shared" si="14"/>
        <v/>
      </c>
      <c r="B96" s="1" t="str">
        <f t="shared" si="58"/>
        <v/>
      </c>
      <c r="I96" s="1" t="b">
        <f t="shared" si="53"/>
        <v>1</v>
      </c>
      <c r="J96" s="1" t="b">
        <f t="shared" si="54"/>
        <v>1</v>
      </c>
      <c r="K96" s="10">
        <f t="shared" si="55"/>
        <v>0</v>
      </c>
      <c r="L9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96" s="10">
        <f>IF(Stakeholders!$D$2="Potential",K96,
      IF(K96&lt;0,MAX(K96,L96),MAX(MIN(K96,L96),0)))</f>
        <v>0</v>
      </c>
    </row>
    <row r="97" spans="1:13" x14ac:dyDescent="0.3">
      <c r="A97" s="1" t="str">
        <f t="shared" si="14"/>
        <v/>
      </c>
      <c r="B97" s="1" t="str">
        <f t="shared" si="58"/>
        <v/>
      </c>
      <c r="I97" s="1" t="b">
        <f t="shared" si="53"/>
        <v>1</v>
      </c>
      <c r="J97" s="1" t="b">
        <f t="shared" si="54"/>
        <v>1</v>
      </c>
      <c r="K97" s="10">
        <f t="shared" si="55"/>
        <v>0</v>
      </c>
      <c r="L9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97" s="10">
        <f>IF(Stakeholders!$D$2="Potential",K97,
      IF(K97&lt;0,MAX(K97,L97),MAX(MIN(K97,L97),0)))</f>
        <v>0</v>
      </c>
    </row>
    <row r="98" spans="1:13" x14ac:dyDescent="0.3">
      <c r="A98" s="1" t="str">
        <f t="shared" si="14"/>
        <v/>
      </c>
      <c r="B98" s="1" t="str">
        <f t="shared" si="58"/>
        <v/>
      </c>
      <c r="I98" s="1" t="b">
        <f t="shared" ref="I98:I125" si="59">IF(ISBLANK(C98),TRUE,VLOOKUP(C98,Scens_With_All_Data,4,FALSE))</f>
        <v>1</v>
      </c>
      <c r="J98" s="1" t="b">
        <f t="shared" ref="J98:J125" si="60">IF(ISBLANK(D98),TRUE,VLOOKUP(D98,Scens_With_All_Data,4,FALSE))</f>
        <v>1</v>
      </c>
      <c r="K98" s="10">
        <f t="shared" si="55"/>
        <v>0</v>
      </c>
      <c r="L9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98" s="10">
        <f>IF(Stakeholders!$D$2="Potential",K98,
      IF(K98&lt;0,MAX(K98,L98),MAX(MIN(K98,L98),0)))</f>
        <v>0</v>
      </c>
    </row>
    <row r="99" spans="1:13" x14ac:dyDescent="0.3">
      <c r="A99" s="1" t="str">
        <f t="shared" si="14"/>
        <v/>
      </c>
      <c r="B99" s="1" t="str">
        <f t="shared" si="58"/>
        <v/>
      </c>
      <c r="I99" s="1" t="b">
        <f t="shared" si="59"/>
        <v>1</v>
      </c>
      <c r="J99" s="1" t="b">
        <f t="shared" si="60"/>
        <v>1</v>
      </c>
      <c r="K99" s="10">
        <f t="shared" si="55"/>
        <v>0</v>
      </c>
      <c r="L9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99" s="10">
        <f>IF(Stakeholders!$D$2="Potential",K99,
      IF(K99&lt;0,MAX(K99,L99),MAX(MIN(K99,L99),0)))</f>
        <v>0</v>
      </c>
    </row>
    <row r="100" spans="1:13" x14ac:dyDescent="0.3">
      <c r="A100" s="1" t="str">
        <f t="shared" si="14"/>
        <v/>
      </c>
      <c r="B100" s="1" t="str">
        <f t="shared" si="58"/>
        <v/>
      </c>
      <c r="I100" s="1" t="b">
        <f t="shared" si="59"/>
        <v>1</v>
      </c>
      <c r="J100" s="1" t="b">
        <f t="shared" si="60"/>
        <v>1</v>
      </c>
      <c r="K100" s="10">
        <f t="shared" si="55"/>
        <v>0</v>
      </c>
      <c r="L10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00" s="10">
        <f>IF(Stakeholders!$D$2="Potential",K100,
      IF(K100&lt;0,MAX(K100,L100),MAX(MIN(K100,L100),0)))</f>
        <v>0</v>
      </c>
    </row>
    <row r="101" spans="1:13" x14ac:dyDescent="0.3">
      <c r="A101" s="1" t="str">
        <f t="shared" si="14"/>
        <v/>
      </c>
      <c r="B101" s="1" t="str">
        <f t="shared" si="58"/>
        <v/>
      </c>
      <c r="I101" s="1" t="b">
        <f t="shared" si="59"/>
        <v>1</v>
      </c>
      <c r="J101" s="1" t="b">
        <f t="shared" si="60"/>
        <v>1</v>
      </c>
      <c r="K101" s="10">
        <f t="shared" si="55"/>
        <v>0</v>
      </c>
      <c r="L10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01" s="10">
        <f>IF(Stakeholders!$D$2="Potential",K101,
      IF(K101&lt;0,MAX(K101,L101),MAX(MIN(K101,L101),0)))</f>
        <v>0</v>
      </c>
    </row>
    <row r="102" spans="1:13" x14ac:dyDescent="0.3">
      <c r="A102" s="1" t="str">
        <f t="shared" si="14"/>
        <v/>
      </c>
      <c r="B102" s="1" t="str">
        <f t="shared" si="58"/>
        <v/>
      </c>
      <c r="I102" s="1" t="b">
        <f t="shared" si="59"/>
        <v>1</v>
      </c>
      <c r="J102" s="1" t="b">
        <f t="shared" si="60"/>
        <v>1</v>
      </c>
      <c r="K102" s="10">
        <f t="shared" si="55"/>
        <v>0</v>
      </c>
      <c r="L10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02" s="10">
        <f>IF(Stakeholders!$D$2="Potential",K102,
      IF(K102&lt;0,MAX(K102,L102),MAX(MIN(K102,L102),0)))</f>
        <v>0</v>
      </c>
    </row>
    <row r="103" spans="1:13" x14ac:dyDescent="0.3">
      <c r="A103" s="1" t="str">
        <f t="shared" si="14"/>
        <v/>
      </c>
      <c r="B103" s="1" t="str">
        <f t="shared" si="58"/>
        <v/>
      </c>
      <c r="I103" s="1" t="b">
        <f t="shared" si="59"/>
        <v>1</v>
      </c>
      <c r="J103" s="1" t="b">
        <f t="shared" si="60"/>
        <v>1</v>
      </c>
      <c r="K103" s="10">
        <f t="shared" si="55"/>
        <v>0</v>
      </c>
      <c r="L10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03" s="10">
        <f>IF(Stakeholders!$D$2="Potential",K103,
      IF(K103&lt;0,MAX(K103,L103),MAX(MIN(K103,L103),0)))</f>
        <v>0</v>
      </c>
    </row>
    <row r="104" spans="1:13" x14ac:dyDescent="0.3">
      <c r="A104" s="1" t="str">
        <f t="shared" si="14"/>
        <v/>
      </c>
      <c r="B104" s="1" t="str">
        <f t="shared" si="58"/>
        <v/>
      </c>
      <c r="I104" s="1" t="b">
        <f t="shared" si="59"/>
        <v>1</v>
      </c>
      <c r="J104" s="1" t="b">
        <f t="shared" si="60"/>
        <v>1</v>
      </c>
      <c r="K104" s="10">
        <f t="shared" si="55"/>
        <v>0</v>
      </c>
      <c r="L10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04" s="10">
        <f>IF(Stakeholders!$D$2="Potential",K104,
      IF(K104&lt;0,MAX(K104,L104),MAX(MIN(K104,L104),0)))</f>
        <v>0</v>
      </c>
    </row>
    <row r="105" spans="1:13" x14ac:dyDescent="0.3">
      <c r="A105" s="1" t="str">
        <f t="shared" si="14"/>
        <v/>
      </c>
      <c r="B105" s="1" t="str">
        <f t="shared" si="58"/>
        <v/>
      </c>
      <c r="I105" s="1" t="b">
        <f t="shared" si="59"/>
        <v>1</v>
      </c>
      <c r="J105" s="1" t="b">
        <f t="shared" si="60"/>
        <v>1</v>
      </c>
      <c r="K105" s="10">
        <f t="shared" si="55"/>
        <v>0</v>
      </c>
      <c r="L10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05" s="10">
        <f>IF(Stakeholders!$D$2="Potential",K105,
      IF(K105&lt;0,MAX(K105,L105),MAX(MIN(K105,L105),0)))</f>
        <v>0</v>
      </c>
    </row>
    <row r="106" spans="1:13" x14ac:dyDescent="0.3">
      <c r="A106" s="1" t="str">
        <f t="shared" si="14"/>
        <v/>
      </c>
      <c r="B106" s="1" t="str">
        <f t="shared" si="58"/>
        <v/>
      </c>
      <c r="I106" s="1" t="b">
        <f t="shared" si="59"/>
        <v>1</v>
      </c>
      <c r="J106" s="1" t="b">
        <f t="shared" si="60"/>
        <v>1</v>
      </c>
      <c r="K106" s="10">
        <f t="shared" si="55"/>
        <v>0</v>
      </c>
      <c r="L10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06" s="10">
        <f>IF(Stakeholders!$D$2="Potential",K106,
      IF(K106&lt;0,MAX(K106,L106),MAX(MIN(K106,L106),0)))</f>
        <v>0</v>
      </c>
    </row>
    <row r="107" spans="1:13" x14ac:dyDescent="0.3">
      <c r="A107" s="1" t="str">
        <f t="shared" si="14"/>
        <v/>
      </c>
      <c r="B107" s="1" t="str">
        <f t="shared" si="58"/>
        <v/>
      </c>
      <c r="I107" s="1" t="b">
        <f t="shared" si="59"/>
        <v>1</v>
      </c>
      <c r="J107" s="1" t="b">
        <f t="shared" si="60"/>
        <v>1</v>
      </c>
      <c r="K107" s="10">
        <f t="shared" si="55"/>
        <v>0</v>
      </c>
      <c r="L10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07" s="10">
        <f>IF(Stakeholders!$D$2="Potential",K107,
      IF(K107&lt;0,MAX(K107,L107),MAX(MIN(K107,L107),0)))</f>
        <v>0</v>
      </c>
    </row>
    <row r="108" spans="1:13" x14ac:dyDescent="0.3">
      <c r="A108" s="1" t="str">
        <f t="shared" si="14"/>
        <v/>
      </c>
      <c r="B108" s="1" t="str">
        <f t="shared" si="58"/>
        <v/>
      </c>
      <c r="I108" s="1" t="b">
        <f t="shared" si="59"/>
        <v>1</v>
      </c>
      <c r="J108" s="1" t="b">
        <f t="shared" si="60"/>
        <v>1</v>
      </c>
      <c r="K108" s="10">
        <f t="shared" si="55"/>
        <v>0</v>
      </c>
      <c r="L10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08" s="10">
        <f>IF(Stakeholders!$D$2="Potential",K108,
      IF(K108&lt;0,MAX(K108,L108),MAX(MIN(K108,L108),0)))</f>
        <v>0</v>
      </c>
    </row>
    <row r="109" spans="1:13" x14ac:dyDescent="0.3">
      <c r="A109" s="1" t="str">
        <f t="shared" si="14"/>
        <v/>
      </c>
      <c r="B109" s="1" t="str">
        <f t="shared" si="58"/>
        <v/>
      </c>
      <c r="I109" s="1" t="b">
        <f t="shared" si="59"/>
        <v>1</v>
      </c>
      <c r="J109" s="1" t="b">
        <f t="shared" si="60"/>
        <v>1</v>
      </c>
      <c r="K109" s="10">
        <f t="shared" si="55"/>
        <v>0</v>
      </c>
      <c r="L10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09" s="10">
        <f>IF(Stakeholders!$D$2="Potential",K109,
      IF(K109&lt;0,MAX(K109,L109),MAX(MIN(K109,L109),0)))</f>
        <v>0</v>
      </c>
    </row>
    <row r="110" spans="1:13" x14ac:dyDescent="0.3">
      <c r="A110" s="1" t="str">
        <f t="shared" si="14"/>
        <v/>
      </c>
      <c r="B110" s="1" t="str">
        <f t="shared" si="58"/>
        <v/>
      </c>
      <c r="I110" s="1" t="b">
        <f t="shared" si="59"/>
        <v>1</v>
      </c>
      <c r="J110" s="1" t="b">
        <f t="shared" si="60"/>
        <v>1</v>
      </c>
      <c r="K110" s="10">
        <f t="shared" si="55"/>
        <v>0</v>
      </c>
      <c r="L11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10" s="10">
        <f>IF(Stakeholders!$D$2="Potential",K110,
      IF(K110&lt;0,MAX(K110,L110),MAX(MIN(K110,L110),0)))</f>
        <v>0</v>
      </c>
    </row>
    <row r="111" spans="1:13" x14ac:dyDescent="0.3">
      <c r="A111" s="1" t="str">
        <f t="shared" si="14"/>
        <v/>
      </c>
      <c r="B111" s="1" t="str">
        <f t="shared" si="58"/>
        <v/>
      </c>
      <c r="I111" s="1" t="b">
        <f t="shared" si="59"/>
        <v>1</v>
      </c>
      <c r="J111" s="1" t="b">
        <f t="shared" si="60"/>
        <v>1</v>
      </c>
      <c r="K111" s="10">
        <f t="shared" si="55"/>
        <v>0</v>
      </c>
      <c r="L11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11" s="10">
        <f>IF(Stakeholders!$D$2="Potential",K111,
      IF(K111&lt;0,MAX(K111,L111),MAX(MIN(K111,L111),0)))</f>
        <v>0</v>
      </c>
    </row>
    <row r="112" spans="1:13" x14ac:dyDescent="0.3">
      <c r="A112" s="1" t="str">
        <f t="shared" si="14"/>
        <v/>
      </c>
      <c r="B112" s="1" t="str">
        <f t="shared" si="58"/>
        <v/>
      </c>
      <c r="I112" s="1" t="b">
        <f t="shared" si="59"/>
        <v>1</v>
      </c>
      <c r="J112" s="1" t="b">
        <f t="shared" si="60"/>
        <v>1</v>
      </c>
      <c r="K112" s="10">
        <f t="shared" si="55"/>
        <v>0</v>
      </c>
      <c r="L11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12" s="10">
        <f>IF(Stakeholders!$D$2="Potential",K112,
      IF(K112&lt;0,MAX(K112,L112),MAX(MIN(K112,L112),0)))</f>
        <v>0</v>
      </c>
    </row>
    <row r="113" spans="1:13" x14ac:dyDescent="0.3">
      <c r="A113" s="1" t="str">
        <f t="shared" si="14"/>
        <v/>
      </c>
      <c r="B113" s="1" t="str">
        <f t="shared" si="58"/>
        <v/>
      </c>
      <c r="I113" s="1" t="b">
        <f t="shared" si="59"/>
        <v>1</v>
      </c>
      <c r="J113" s="1" t="b">
        <f t="shared" si="60"/>
        <v>1</v>
      </c>
      <c r="K113" s="10">
        <f t="shared" si="55"/>
        <v>0</v>
      </c>
      <c r="L11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13" s="10">
        <f>IF(Stakeholders!$D$2="Potential",K113,
      IF(K113&lt;0,MAX(K113,L113),MAX(MIN(K113,L113),0)))</f>
        <v>0</v>
      </c>
    </row>
    <row r="114" spans="1:13" x14ac:dyDescent="0.3">
      <c r="A114" s="1" t="str">
        <f t="shared" si="14"/>
        <v/>
      </c>
      <c r="B114" s="1" t="str">
        <f t="shared" si="58"/>
        <v/>
      </c>
      <c r="I114" s="1" t="b">
        <f t="shared" si="59"/>
        <v>1</v>
      </c>
      <c r="J114" s="1" t="b">
        <f t="shared" si="60"/>
        <v>1</v>
      </c>
      <c r="K114" s="10">
        <f t="shared" si="55"/>
        <v>0</v>
      </c>
      <c r="L11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14" s="10">
        <f>IF(Stakeholders!$D$2="Potential",K114,
      IF(K114&lt;0,MAX(K114,L114),MAX(MIN(K114,L114),0)))</f>
        <v>0</v>
      </c>
    </row>
    <row r="115" spans="1:13" x14ac:dyDescent="0.3">
      <c r="A115" s="1" t="str">
        <f t="shared" si="14"/>
        <v/>
      </c>
      <c r="B115" s="1" t="str">
        <f t="shared" si="58"/>
        <v/>
      </c>
      <c r="I115" s="1" t="b">
        <f t="shared" si="59"/>
        <v>1</v>
      </c>
      <c r="J115" s="1" t="b">
        <f t="shared" si="60"/>
        <v>1</v>
      </c>
      <c r="K115" s="10">
        <f t="shared" si="55"/>
        <v>0</v>
      </c>
      <c r="L11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15" s="10">
        <f>IF(Stakeholders!$D$2="Potential",K115,
      IF(K115&lt;0,MAX(K115,L115),MAX(MIN(K115,L115),0)))</f>
        <v>0</v>
      </c>
    </row>
    <row r="116" spans="1:13" x14ac:dyDescent="0.3">
      <c r="A116" s="1" t="str">
        <f t="shared" si="14"/>
        <v/>
      </c>
      <c r="B116" s="1" t="str">
        <f t="shared" si="58"/>
        <v/>
      </c>
      <c r="I116" s="1" t="b">
        <f t="shared" si="59"/>
        <v>1</v>
      </c>
      <c r="J116" s="1" t="b">
        <f t="shared" si="60"/>
        <v>1</v>
      </c>
      <c r="K116" s="10">
        <f t="shared" si="55"/>
        <v>0</v>
      </c>
      <c r="L116"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16" s="10">
        <f>IF(Stakeholders!$D$2="Potential",K116,
      IF(K116&lt;0,MAX(K116,L116),MAX(MIN(K116,L116),0)))</f>
        <v>0</v>
      </c>
    </row>
    <row r="117" spans="1:13" x14ac:dyDescent="0.3">
      <c r="A117" s="1" t="str">
        <f t="shared" si="14"/>
        <v/>
      </c>
      <c r="B117" s="1" t="str">
        <f t="shared" si="58"/>
        <v/>
      </c>
      <c r="I117" s="1" t="b">
        <f t="shared" si="59"/>
        <v>1</v>
      </c>
      <c r="J117" s="1" t="b">
        <f t="shared" si="60"/>
        <v>1</v>
      </c>
      <c r="K117" s="10">
        <f t="shared" si="55"/>
        <v>0</v>
      </c>
      <c r="L117"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17" s="10">
        <f>IF(Stakeholders!$D$2="Potential",K117,
      IF(K117&lt;0,MAX(K117,L117),MAX(MIN(K117,L117),0)))</f>
        <v>0</v>
      </c>
    </row>
    <row r="118" spans="1:13" x14ac:dyDescent="0.3">
      <c r="A118" s="1" t="str">
        <f t="shared" ref="A118:A170" si="61">IF(ISBLANK(G118),"",IF(G118&gt;0,"G","R")&amp;TEXT(ROW()-1,"00"))</f>
        <v/>
      </c>
      <c r="B118" s="1" t="str">
        <f t="shared" ref="B118:B149" si="62">IF(LEN(A118)&gt;0,VLOOKUP(MID(A118,1,1),Abbreviations,2,FALSE),"")</f>
        <v/>
      </c>
      <c r="I118" s="1" t="b">
        <f t="shared" si="59"/>
        <v>1</v>
      </c>
      <c r="J118" s="1" t="b">
        <f t="shared" si="60"/>
        <v>1</v>
      </c>
      <c r="K118" s="10">
        <f t="shared" si="55"/>
        <v>0</v>
      </c>
      <c r="L118"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18" s="10">
        <f>IF(Stakeholders!$D$2="Potential",K118,
      IF(K118&lt;0,MAX(K118,L118),MAX(MIN(K118,L118),0)))</f>
        <v>0</v>
      </c>
    </row>
    <row r="119" spans="1:13" x14ac:dyDescent="0.3">
      <c r="A119" s="1" t="str">
        <f t="shared" si="61"/>
        <v/>
      </c>
      <c r="B119" s="1" t="str">
        <f t="shared" si="62"/>
        <v/>
      </c>
      <c r="I119" s="1" t="b">
        <f t="shared" si="59"/>
        <v>1</v>
      </c>
      <c r="J119" s="1" t="b">
        <f t="shared" si="60"/>
        <v>1</v>
      </c>
      <c r="K119" s="10">
        <f t="shared" ref="K119:K125" si="63">IF(AND(I119,J119),G119,0)</f>
        <v>0</v>
      </c>
      <c r="L119"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19" s="10">
        <f>IF(Stakeholders!$D$2="Potential",K119,
      IF(K119&lt;0,MAX(K119,L119),MAX(MIN(K119,L119),0)))</f>
        <v>0</v>
      </c>
    </row>
    <row r="120" spans="1:13" x14ac:dyDescent="0.3">
      <c r="A120" s="1" t="str">
        <f t="shared" si="61"/>
        <v/>
      </c>
      <c r="B120" s="1" t="str">
        <f t="shared" si="62"/>
        <v/>
      </c>
      <c r="I120" s="1" t="b">
        <f t="shared" si="59"/>
        <v>1</v>
      </c>
      <c r="J120" s="1" t="b">
        <f t="shared" si="60"/>
        <v>1</v>
      </c>
      <c r="K120" s="10">
        <f t="shared" si="63"/>
        <v>0</v>
      </c>
      <c r="L120"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20" s="10">
        <f>IF(Stakeholders!$D$2="Potential",K120,
      IF(K120&lt;0,MAX(K120,L120),MAX(MIN(K120,L120),0)))</f>
        <v>0</v>
      </c>
    </row>
    <row r="121" spans="1:13" x14ac:dyDescent="0.3">
      <c r="A121" s="1" t="str">
        <f t="shared" si="61"/>
        <v/>
      </c>
      <c r="B121" s="1" t="str">
        <f t="shared" si="62"/>
        <v/>
      </c>
      <c r="I121" s="1" t="b">
        <f t="shared" si="59"/>
        <v>1</v>
      </c>
      <c r="J121" s="1" t="b">
        <f t="shared" si="60"/>
        <v>1</v>
      </c>
      <c r="K121" s="10">
        <f t="shared" si="63"/>
        <v>0</v>
      </c>
      <c r="L121"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21" s="10">
        <f>IF(Stakeholders!$D$2="Potential",K121,
      IF(K121&lt;0,MAX(K121,L121),MAX(MIN(K121,L121),0)))</f>
        <v>0</v>
      </c>
    </row>
    <row r="122" spans="1:13" x14ac:dyDescent="0.3">
      <c r="A122" s="1" t="str">
        <f t="shared" si="61"/>
        <v/>
      </c>
      <c r="B122" s="1" t="str">
        <f t="shared" si="62"/>
        <v/>
      </c>
      <c r="I122" s="1" t="b">
        <f t="shared" si="59"/>
        <v>1</v>
      </c>
      <c r="J122" s="1" t="b">
        <f t="shared" si="60"/>
        <v>1</v>
      </c>
      <c r="K122" s="10">
        <f t="shared" si="63"/>
        <v>0</v>
      </c>
      <c r="L122"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22" s="10">
        <f>IF(Stakeholders!$D$2="Potential",K122,
      IF(K122&lt;0,MAX(K122,L122),MAX(MIN(K122,L122),0)))</f>
        <v>0</v>
      </c>
    </row>
    <row r="123" spans="1:13" x14ac:dyDescent="0.3">
      <c r="A123" s="1" t="str">
        <f t="shared" si="61"/>
        <v/>
      </c>
      <c r="B123" s="1" t="str">
        <f t="shared" si="62"/>
        <v/>
      </c>
      <c r="I123" s="1" t="b">
        <f t="shared" si="59"/>
        <v>1</v>
      </c>
      <c r="J123" s="1" t="b">
        <f t="shared" si="60"/>
        <v>1</v>
      </c>
      <c r="K123" s="10">
        <f t="shared" si="63"/>
        <v>0</v>
      </c>
      <c r="L123"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23" s="10">
        <f>IF(Stakeholders!$D$2="Potential",K123,
      IF(K123&lt;0,MAX(K123,L123),MAX(MIN(K123,L123),0)))</f>
        <v>0</v>
      </c>
    </row>
    <row r="124" spans="1:13" x14ac:dyDescent="0.3">
      <c r="A124" s="1" t="str">
        <f t="shared" si="61"/>
        <v/>
      </c>
      <c r="B124" s="1" t="str">
        <f t="shared" si="62"/>
        <v/>
      </c>
      <c r="I124" s="1" t="b">
        <f t="shared" si="59"/>
        <v>1</v>
      </c>
      <c r="J124" s="1" t="b">
        <f t="shared" si="60"/>
        <v>1</v>
      </c>
      <c r="K124" s="10">
        <f t="shared" si="63"/>
        <v>0</v>
      </c>
      <c r="L124"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24" s="10">
        <f>IF(Stakeholders!$D$2="Potential",K124,
      IF(K124&lt;0,MAX(K124,L124),MAX(MIN(K124,L124),0)))</f>
        <v>0</v>
      </c>
    </row>
    <row r="125" spans="1:13" x14ac:dyDescent="0.3">
      <c r="A125" s="1" t="str">
        <f t="shared" si="61"/>
        <v/>
      </c>
      <c r="B125" s="1" t="str">
        <f t="shared" si="62"/>
        <v/>
      </c>
      <c r="I125" s="1" t="b">
        <f t="shared" si="59"/>
        <v>1</v>
      </c>
      <c r="J125" s="1" t="b">
        <f t="shared" si="60"/>
        <v>1</v>
      </c>
      <c r="K125" s="10">
        <f t="shared" si="63"/>
        <v>0</v>
      </c>
      <c r="L125" s="10">
        <f>IF(IFERROR(COUNTIFS(_GRREQ_Scen_Match,TRUE,INDEX(_GRREQ,1,ROW()-1):INDEX(_GRREQ,200,ROW()-1),2),0)&gt;0,2,
     IF(IFERROR(COUNTIFS(_GRREQ_Scen_Match,TRUE,INDEX(_GRREQ,1,ROW()-1):INDEX(_GRREQ,200,ROW()-1),1),0)&gt;0,1,
        IF(IFERROR(COUNTIFS(_GRREQ_Scen_Match,TRUE,INDEX(_GRREQ,1,ROW()-1):INDEX(_GRREQ,200,ROW()-1),0),0)&gt;0,0,
          IF(IFERROR(COUNTIFS(_GRREQ_Scen_Match,TRUE,INDEX(_GRREQ,1,ROW()-1):INDEX(_GRREQ,200,ROW()-1),-1),0)&gt;0,-1,
             IF(IFERROR(COUNTIFS(_GRREQ_Scen_Match,TRUE,INDEX(_GRREQ,1,ROW()-1):INDEX(_GRREQ,200,ROW()-1),-2),0)&gt;0,-2,
                  -999)))))</f>
        <v>-999</v>
      </c>
      <c r="M125" s="10">
        <f>IF(Stakeholders!$D$2="Potential",K125,
      IF(K125&lt;0,MAX(K125,L125),MAX(MIN(K125,L125),0)))</f>
        <v>0</v>
      </c>
    </row>
    <row r="126" spans="1:13" x14ac:dyDescent="0.3">
      <c r="A126" s="1" t="str">
        <f t="shared" si="61"/>
        <v/>
      </c>
      <c r="B126" s="1" t="str">
        <f t="shared" si="62"/>
        <v/>
      </c>
    </row>
    <row r="127" spans="1:13" x14ac:dyDescent="0.3">
      <c r="A127" s="1" t="str">
        <f t="shared" si="61"/>
        <v/>
      </c>
      <c r="B127" s="1" t="str">
        <f t="shared" si="62"/>
        <v/>
      </c>
    </row>
    <row r="128" spans="1:13" x14ac:dyDescent="0.3">
      <c r="A128" s="1" t="str">
        <f t="shared" si="61"/>
        <v/>
      </c>
      <c r="B128" s="1" t="str">
        <f t="shared" si="62"/>
        <v/>
      </c>
    </row>
    <row r="129" spans="1:2" x14ac:dyDescent="0.3">
      <c r="A129" s="1" t="str">
        <f t="shared" si="61"/>
        <v/>
      </c>
      <c r="B129" s="1" t="str">
        <f t="shared" si="62"/>
        <v/>
      </c>
    </row>
    <row r="130" spans="1:2" x14ac:dyDescent="0.3">
      <c r="A130" s="1" t="str">
        <f t="shared" si="61"/>
        <v/>
      </c>
      <c r="B130" s="1" t="str">
        <f t="shared" si="62"/>
        <v/>
      </c>
    </row>
    <row r="131" spans="1:2" x14ac:dyDescent="0.3">
      <c r="A131" s="1" t="str">
        <f t="shared" si="61"/>
        <v/>
      </c>
      <c r="B131" s="1" t="str">
        <f t="shared" si="62"/>
        <v/>
      </c>
    </row>
    <row r="132" spans="1:2" x14ac:dyDescent="0.3">
      <c r="A132" s="1" t="str">
        <f t="shared" si="61"/>
        <v/>
      </c>
      <c r="B132" s="1" t="str">
        <f t="shared" si="62"/>
        <v/>
      </c>
    </row>
    <row r="133" spans="1:2" x14ac:dyDescent="0.3">
      <c r="A133" s="1" t="str">
        <f t="shared" si="61"/>
        <v/>
      </c>
      <c r="B133" s="1" t="str">
        <f t="shared" si="62"/>
        <v/>
      </c>
    </row>
    <row r="134" spans="1:2" x14ac:dyDescent="0.3">
      <c r="A134" s="1" t="str">
        <f t="shared" si="61"/>
        <v/>
      </c>
      <c r="B134" s="1" t="str">
        <f t="shared" si="62"/>
        <v/>
      </c>
    </row>
    <row r="135" spans="1:2" x14ac:dyDescent="0.3">
      <c r="A135" s="1" t="str">
        <f t="shared" si="61"/>
        <v/>
      </c>
      <c r="B135" s="1" t="str">
        <f t="shared" si="62"/>
        <v/>
      </c>
    </row>
    <row r="136" spans="1:2" x14ac:dyDescent="0.3">
      <c r="A136" s="1" t="str">
        <f t="shared" si="61"/>
        <v/>
      </c>
      <c r="B136" s="1" t="str">
        <f t="shared" si="62"/>
        <v/>
      </c>
    </row>
    <row r="137" spans="1:2" x14ac:dyDescent="0.3">
      <c r="A137" s="1" t="str">
        <f t="shared" si="61"/>
        <v/>
      </c>
      <c r="B137" s="1" t="str">
        <f t="shared" si="62"/>
        <v/>
      </c>
    </row>
    <row r="138" spans="1:2" x14ac:dyDescent="0.3">
      <c r="A138" s="1" t="str">
        <f t="shared" si="61"/>
        <v/>
      </c>
      <c r="B138" s="1" t="str">
        <f t="shared" si="62"/>
        <v/>
      </c>
    </row>
    <row r="139" spans="1:2" x14ac:dyDescent="0.3">
      <c r="A139" s="1" t="str">
        <f t="shared" si="61"/>
        <v/>
      </c>
      <c r="B139" s="1" t="str">
        <f t="shared" si="62"/>
        <v/>
      </c>
    </row>
    <row r="140" spans="1:2" x14ac:dyDescent="0.3">
      <c r="A140" s="1" t="str">
        <f t="shared" si="61"/>
        <v/>
      </c>
      <c r="B140" s="1" t="str">
        <f t="shared" si="62"/>
        <v/>
      </c>
    </row>
    <row r="141" spans="1:2" x14ac:dyDescent="0.3">
      <c r="A141" s="1" t="str">
        <f t="shared" si="61"/>
        <v/>
      </c>
      <c r="B141" s="1" t="str">
        <f t="shared" si="62"/>
        <v/>
      </c>
    </row>
    <row r="142" spans="1:2" x14ac:dyDescent="0.3">
      <c r="A142" s="1" t="str">
        <f t="shared" si="61"/>
        <v/>
      </c>
      <c r="B142" s="1" t="str">
        <f t="shared" si="62"/>
        <v/>
      </c>
    </row>
    <row r="143" spans="1:2" x14ac:dyDescent="0.3">
      <c r="A143" s="1" t="str">
        <f t="shared" si="61"/>
        <v/>
      </c>
      <c r="B143" s="1" t="str">
        <f t="shared" si="62"/>
        <v/>
      </c>
    </row>
    <row r="144" spans="1:2" x14ac:dyDescent="0.3">
      <c r="A144" s="1" t="str">
        <f t="shared" si="61"/>
        <v/>
      </c>
      <c r="B144" s="1" t="str">
        <f t="shared" si="62"/>
        <v/>
      </c>
    </row>
    <row r="145" spans="1:2" x14ac:dyDescent="0.3">
      <c r="A145" s="1" t="str">
        <f t="shared" si="61"/>
        <v/>
      </c>
      <c r="B145" s="1" t="str">
        <f t="shared" si="62"/>
        <v/>
      </c>
    </row>
    <row r="146" spans="1:2" x14ac:dyDescent="0.3">
      <c r="A146" s="1" t="str">
        <f t="shared" si="61"/>
        <v/>
      </c>
      <c r="B146" s="1" t="str">
        <f t="shared" si="62"/>
        <v/>
      </c>
    </row>
    <row r="147" spans="1:2" x14ac:dyDescent="0.3">
      <c r="A147" s="1" t="str">
        <f t="shared" si="61"/>
        <v/>
      </c>
      <c r="B147" s="1" t="str">
        <f t="shared" si="62"/>
        <v/>
      </c>
    </row>
    <row r="148" spans="1:2" x14ac:dyDescent="0.3">
      <c r="A148" s="1" t="str">
        <f t="shared" si="61"/>
        <v/>
      </c>
      <c r="B148" s="1" t="str">
        <f t="shared" si="62"/>
        <v/>
      </c>
    </row>
    <row r="149" spans="1:2" x14ac:dyDescent="0.3">
      <c r="A149" s="1" t="str">
        <f t="shared" si="61"/>
        <v/>
      </c>
      <c r="B149" s="1" t="str">
        <f t="shared" si="62"/>
        <v/>
      </c>
    </row>
    <row r="150" spans="1:2" x14ac:dyDescent="0.3">
      <c r="A150" s="1" t="str">
        <f t="shared" si="61"/>
        <v/>
      </c>
      <c r="B150" s="1" t="str">
        <f t="shared" ref="B150:B170" si="64">IF(LEN(A150)&gt;0,VLOOKUP(MID(A150,1,1),Abbreviations,2,FALSE),"")</f>
        <v/>
      </c>
    </row>
    <row r="151" spans="1:2" x14ac:dyDescent="0.3">
      <c r="A151" s="1" t="str">
        <f t="shared" si="61"/>
        <v/>
      </c>
      <c r="B151" s="1" t="str">
        <f t="shared" si="64"/>
        <v/>
      </c>
    </row>
    <row r="152" spans="1:2" x14ac:dyDescent="0.3">
      <c r="A152" s="1" t="str">
        <f t="shared" si="61"/>
        <v/>
      </c>
      <c r="B152" s="1" t="str">
        <f t="shared" si="64"/>
        <v/>
      </c>
    </row>
    <row r="153" spans="1:2" x14ac:dyDescent="0.3">
      <c r="A153" s="1" t="str">
        <f t="shared" si="61"/>
        <v/>
      </c>
      <c r="B153" s="1" t="str">
        <f t="shared" si="64"/>
        <v/>
      </c>
    </row>
    <row r="154" spans="1:2" x14ac:dyDescent="0.3">
      <c r="A154" s="1" t="str">
        <f t="shared" si="61"/>
        <v/>
      </c>
      <c r="B154" s="1" t="str">
        <f t="shared" si="64"/>
        <v/>
      </c>
    </row>
    <row r="155" spans="1:2" x14ac:dyDescent="0.3">
      <c r="A155" s="1" t="str">
        <f t="shared" si="61"/>
        <v/>
      </c>
      <c r="B155" s="1" t="str">
        <f t="shared" si="64"/>
        <v/>
      </c>
    </row>
    <row r="156" spans="1:2" x14ac:dyDescent="0.3">
      <c r="A156" s="1" t="str">
        <f t="shared" si="61"/>
        <v/>
      </c>
      <c r="B156" s="1" t="str">
        <f t="shared" si="64"/>
        <v/>
      </c>
    </row>
    <row r="157" spans="1:2" x14ac:dyDescent="0.3">
      <c r="A157" s="1" t="str">
        <f t="shared" si="61"/>
        <v/>
      </c>
      <c r="B157" s="1" t="str">
        <f t="shared" si="64"/>
        <v/>
      </c>
    </row>
    <row r="158" spans="1:2" x14ac:dyDescent="0.3">
      <c r="A158" s="1" t="str">
        <f t="shared" si="61"/>
        <v/>
      </c>
      <c r="B158" s="1" t="str">
        <f t="shared" si="64"/>
        <v/>
      </c>
    </row>
    <row r="159" spans="1:2" x14ac:dyDescent="0.3">
      <c r="A159" s="1" t="str">
        <f t="shared" si="61"/>
        <v/>
      </c>
      <c r="B159" s="1" t="str">
        <f t="shared" si="64"/>
        <v/>
      </c>
    </row>
    <row r="160" spans="1:2" x14ac:dyDescent="0.3">
      <c r="A160" s="1" t="str">
        <f t="shared" si="61"/>
        <v/>
      </c>
      <c r="B160" s="1" t="str">
        <f t="shared" si="64"/>
        <v/>
      </c>
    </row>
    <row r="161" spans="1:2" x14ac:dyDescent="0.3">
      <c r="A161" s="1" t="str">
        <f t="shared" si="61"/>
        <v/>
      </c>
      <c r="B161" s="1" t="str">
        <f t="shared" si="64"/>
        <v/>
      </c>
    </row>
    <row r="162" spans="1:2" x14ac:dyDescent="0.3">
      <c r="A162" s="1" t="str">
        <f t="shared" si="61"/>
        <v/>
      </c>
      <c r="B162" s="1" t="str">
        <f t="shared" si="64"/>
        <v/>
      </c>
    </row>
    <row r="163" spans="1:2" x14ac:dyDescent="0.3">
      <c r="A163" s="1" t="str">
        <f t="shared" si="61"/>
        <v/>
      </c>
      <c r="B163" s="1" t="str">
        <f t="shared" si="64"/>
        <v/>
      </c>
    </row>
    <row r="164" spans="1:2" x14ac:dyDescent="0.3">
      <c r="A164" s="1" t="str">
        <f t="shared" si="61"/>
        <v/>
      </c>
      <c r="B164" s="1" t="str">
        <f t="shared" si="64"/>
        <v/>
      </c>
    </row>
    <row r="165" spans="1:2" x14ac:dyDescent="0.3">
      <c r="A165" s="1" t="str">
        <f t="shared" si="61"/>
        <v/>
      </c>
      <c r="B165" s="1" t="str">
        <f t="shared" si="64"/>
        <v/>
      </c>
    </row>
    <row r="166" spans="1:2" x14ac:dyDescent="0.3">
      <c r="A166" s="1" t="str">
        <f t="shared" si="61"/>
        <v/>
      </c>
      <c r="B166" s="1" t="str">
        <f t="shared" si="64"/>
        <v/>
      </c>
    </row>
    <row r="167" spans="1:2" x14ac:dyDescent="0.3">
      <c r="A167" s="1" t="str">
        <f t="shared" si="61"/>
        <v/>
      </c>
      <c r="B167" s="1" t="str">
        <f t="shared" si="64"/>
        <v/>
      </c>
    </row>
    <row r="168" spans="1:2" x14ac:dyDescent="0.3">
      <c r="A168" s="1" t="str">
        <f t="shared" si="61"/>
        <v/>
      </c>
      <c r="B168" s="1" t="str">
        <f t="shared" si="64"/>
        <v/>
      </c>
    </row>
    <row r="169" spans="1:2" x14ac:dyDescent="0.3">
      <c r="A169" s="1" t="str">
        <f t="shared" si="61"/>
        <v/>
      </c>
      <c r="B169" s="1" t="str">
        <f t="shared" si="64"/>
        <v/>
      </c>
    </row>
    <row r="170" spans="1:2" x14ac:dyDescent="0.3">
      <c r="A170" s="1" t="str">
        <f t="shared" si="61"/>
        <v/>
      </c>
      <c r="B170" s="1" t="str">
        <f t="shared" si="64"/>
        <v/>
      </c>
    </row>
  </sheetData>
  <sheetProtection formatColumns="0" formatRows="0"/>
  <autoFilter ref="A1:H170"/>
  <conditionalFormatting sqref="G72:G151 G7:G69 G2:G5">
    <cfRule type="colorScale" priority="5">
      <colorScale>
        <cfvo type="num" val="-2"/>
        <cfvo type="num" val="0"/>
        <cfvo type="num" val="2"/>
        <color rgb="FFF8696B"/>
        <color rgb="FFFCFCFF"/>
        <color rgb="FF63BE7B"/>
      </colorScale>
    </cfRule>
  </conditionalFormatting>
  <conditionalFormatting sqref="G70:G71">
    <cfRule type="colorScale" priority="2">
      <colorScale>
        <cfvo type="num" val="-2"/>
        <cfvo type="num" val="0"/>
        <cfvo type="num" val="2"/>
        <color rgb="FFF8696B"/>
        <color rgb="FFFCFCFF"/>
        <color rgb="FF63BE7B"/>
      </colorScale>
    </cfRule>
  </conditionalFormatting>
  <conditionalFormatting sqref="G6">
    <cfRule type="colorScale" priority="1">
      <colorScale>
        <cfvo type="num" val="-2"/>
        <cfvo type="num" val="0"/>
        <cfvo type="num" val="2"/>
        <color rgb="FFF8696B"/>
        <color rgb="FFFCFCFF"/>
        <color rgb="FF63BE7B"/>
      </colorScale>
    </cfRule>
  </conditionalFormatting>
  <dataValidations count="4">
    <dataValidation type="list" allowBlank="1" showInputMessage="1" showErrorMessage="1" error="Bitte gültigen Typ eingeben!" sqref="F7:F8">
      <formula1>Dimensions</formula1>
    </dataValidation>
    <dataValidation type="list" allowBlank="1" showInputMessage="1" showErrorMessage="1" sqref="F9:F169 F2:F6">
      <formula1>Dimensions</formula1>
    </dataValidation>
    <dataValidation type="list" allowBlank="1" showInputMessage="1" showErrorMessage="1" sqref="C17:C20 C21:D169 C2:D16">
      <formula1>Scenarios</formula1>
    </dataValidation>
    <dataValidation type="list" allowBlank="1" showInputMessage="1" showErrorMessage="1" sqref="E2:E171">
      <formula1>Stakeholders</formula1>
    </dataValidation>
  </dataValidations>
  <pageMargins left="0.7" right="0.7" top="0.78740157499999996" bottom="0.78740157499999996" header="0.3" footer="0.3"/>
  <pageSetup paperSize="9" orientation="portrait" horizontalDpi="4294967293"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dimension ref="A1:KO1000"/>
  <sheetViews>
    <sheetView tabSelected="1" zoomScale="115" zoomScaleNormal="115" workbookViewId="0">
      <pane xSplit="4" ySplit="6" topLeftCell="E7" activePane="bottomRight" state="frozen"/>
      <selection pane="topRight" activeCell="E1" sqref="E1"/>
      <selection pane="bottomLeft" activeCell="A7" sqref="A7"/>
      <selection pane="bottomRight" activeCell="P9" sqref="P9"/>
    </sheetView>
  </sheetViews>
  <sheetFormatPr baseColWidth="10" defaultRowHeight="14.4" x14ac:dyDescent="0.3"/>
  <cols>
    <col min="1" max="1" width="6.5546875" style="7" customWidth="1"/>
    <col min="2" max="2" width="55.77734375" style="1" customWidth="1"/>
    <col min="3" max="3" width="14.33203125" style="1" customWidth="1"/>
    <col min="4" max="4" width="6.33203125" style="7" customWidth="1"/>
    <col min="5" max="5" width="4.88671875" style="1" customWidth="1"/>
    <col min="6" max="41" width="4.6640625" style="1" customWidth="1"/>
    <col min="42" max="65" width="4.88671875" style="1" customWidth="1"/>
    <col min="66" max="79" width="5.44140625" style="1" customWidth="1"/>
    <col min="80" max="16384" width="11.5546875" style="1"/>
  </cols>
  <sheetData>
    <row r="1" spans="1:301" s="50" customFormat="1" ht="7.2" customHeight="1" x14ac:dyDescent="0.3">
      <c r="A1" s="49"/>
      <c r="D1" s="49"/>
    </row>
    <row r="2" spans="1:301" s="14" customFormat="1" ht="9.6" customHeight="1" thickBot="1" x14ac:dyDescent="0.35">
      <c r="A2" s="52"/>
      <c r="B2" s="16"/>
      <c r="C2" s="16"/>
      <c r="D2" s="118"/>
      <c r="E2" s="16"/>
      <c r="F2" s="16"/>
      <c r="G2" s="16"/>
      <c r="H2" s="16"/>
      <c r="I2" s="16"/>
      <c r="J2" s="16"/>
      <c r="K2" s="16"/>
      <c r="L2" s="16"/>
      <c r="M2" s="16"/>
      <c r="N2" s="16"/>
      <c r="O2" s="16"/>
      <c r="P2" s="16"/>
      <c r="Q2" s="16"/>
      <c r="R2" s="16"/>
      <c r="S2" s="16"/>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row>
    <row r="3" spans="1:301" s="14" customFormat="1" ht="15" thickBot="1" x14ac:dyDescent="0.35">
      <c r="A3" s="53">
        <v>68</v>
      </c>
      <c r="B3" s="16"/>
      <c r="C3" s="148" t="s">
        <v>99</v>
      </c>
      <c r="D3" s="148"/>
      <c r="E3" s="16"/>
      <c r="F3" s="145" t="s">
        <v>55</v>
      </c>
      <c r="G3" s="146"/>
      <c r="H3" s="146"/>
      <c r="I3" s="146"/>
      <c r="J3" s="147"/>
      <c r="K3" s="16"/>
      <c r="L3" s="17" t="s">
        <v>100</v>
      </c>
      <c r="M3" s="16"/>
      <c r="N3" s="16"/>
      <c r="O3" s="145"/>
      <c r="P3" s="146"/>
      <c r="Q3" s="146"/>
      <c r="R3" s="147"/>
      <c r="S3" s="16"/>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row>
    <row r="4" spans="1:301" s="14" customFormat="1" ht="8.4" customHeight="1" x14ac:dyDescent="0.3">
      <c r="A4" s="52"/>
      <c r="B4" s="16"/>
      <c r="C4" s="17"/>
      <c r="D4" s="117"/>
      <c r="E4" s="16"/>
      <c r="F4" s="18"/>
      <c r="G4" s="18"/>
      <c r="H4" s="18"/>
      <c r="I4" s="18"/>
      <c r="J4" s="18"/>
      <c r="K4" s="18"/>
      <c r="L4" s="18"/>
      <c r="M4" s="18"/>
      <c r="N4" s="18"/>
      <c r="O4" s="18"/>
      <c r="P4" s="18"/>
      <c r="Q4" s="18"/>
      <c r="R4" s="18"/>
      <c r="S4" s="18"/>
      <c r="T4" s="51"/>
      <c r="U4" s="51"/>
      <c r="V4" s="51"/>
      <c r="W4" s="51"/>
      <c r="X4" s="51"/>
      <c r="Y4" s="51"/>
      <c r="Z4" s="51"/>
      <c r="AA4" s="51"/>
      <c r="AB4" s="51"/>
      <c r="AC4" s="51"/>
      <c r="AD4" s="51"/>
      <c r="AE4" s="51"/>
      <c r="AF4" s="51"/>
      <c r="AG4" s="51"/>
      <c r="AH4" s="51"/>
      <c r="AI4" s="51"/>
      <c r="AJ4" s="51"/>
      <c r="AK4" s="51"/>
      <c r="AL4" s="51"/>
      <c r="AM4" s="51"/>
      <c r="AN4" s="51"/>
      <c r="AO4" s="51"/>
      <c r="AP4" s="51"/>
      <c r="AQ4" s="51"/>
      <c r="AR4" s="51"/>
      <c r="AS4" s="51"/>
      <c r="AT4" s="51"/>
      <c r="AU4" s="51"/>
      <c r="AV4" s="51"/>
      <c r="AW4" s="51"/>
      <c r="AX4" s="51"/>
      <c r="AY4" s="51"/>
      <c r="AZ4" s="51"/>
      <c r="BA4" s="51"/>
      <c r="BB4" s="51"/>
      <c r="BC4" s="51"/>
    </row>
    <row r="5" spans="1:301" s="51" customFormat="1" ht="15" customHeight="1" x14ac:dyDescent="0.3">
      <c r="A5" s="52"/>
      <c r="D5" s="52"/>
      <c r="E5" s="54">
        <v>1</v>
      </c>
      <c r="F5" s="54">
        <f>E5+1</f>
        <v>2</v>
      </c>
      <c r="G5" s="54">
        <f t="shared" ref="G5:AC5" si="0">F5+1</f>
        <v>3</v>
      </c>
      <c r="H5" s="54">
        <f t="shared" si="0"/>
        <v>4</v>
      </c>
      <c r="I5" s="54">
        <f t="shared" si="0"/>
        <v>5</v>
      </c>
      <c r="J5" s="54">
        <f t="shared" si="0"/>
        <v>6</v>
      </c>
      <c r="K5" s="54">
        <f t="shared" si="0"/>
        <v>7</v>
      </c>
      <c r="L5" s="54">
        <f t="shared" si="0"/>
        <v>8</v>
      </c>
      <c r="M5" s="54">
        <f t="shared" si="0"/>
        <v>9</v>
      </c>
      <c r="N5" s="54">
        <f t="shared" si="0"/>
        <v>10</v>
      </c>
      <c r="O5" s="54">
        <f t="shared" si="0"/>
        <v>11</v>
      </c>
      <c r="P5" s="54">
        <f t="shared" si="0"/>
        <v>12</v>
      </c>
      <c r="Q5" s="54">
        <f t="shared" si="0"/>
        <v>13</v>
      </c>
      <c r="R5" s="54">
        <f t="shared" si="0"/>
        <v>14</v>
      </c>
      <c r="S5" s="54">
        <f t="shared" si="0"/>
        <v>15</v>
      </c>
      <c r="T5" s="54">
        <f t="shared" si="0"/>
        <v>16</v>
      </c>
      <c r="U5" s="54">
        <f t="shared" si="0"/>
        <v>17</v>
      </c>
      <c r="V5" s="54">
        <f t="shared" si="0"/>
        <v>18</v>
      </c>
      <c r="W5" s="54">
        <f t="shared" si="0"/>
        <v>19</v>
      </c>
      <c r="X5" s="54">
        <f t="shared" si="0"/>
        <v>20</v>
      </c>
      <c r="Y5" s="54">
        <f t="shared" si="0"/>
        <v>21</v>
      </c>
      <c r="Z5" s="54">
        <f t="shared" si="0"/>
        <v>22</v>
      </c>
      <c r="AA5" s="54">
        <f t="shared" si="0"/>
        <v>23</v>
      </c>
      <c r="AB5" s="54">
        <f t="shared" si="0"/>
        <v>24</v>
      </c>
      <c r="AC5" s="54">
        <f t="shared" si="0"/>
        <v>25</v>
      </c>
    </row>
    <row r="6" spans="1:301" ht="22.8" customHeight="1" thickBot="1" x14ac:dyDescent="0.35">
      <c r="A6" s="15" t="s">
        <v>30</v>
      </c>
      <c r="B6" s="2" t="s">
        <v>96</v>
      </c>
      <c r="C6" s="2" t="s">
        <v>15</v>
      </c>
      <c r="D6" s="119" t="s">
        <v>351</v>
      </c>
      <c r="E6" s="158" t="s">
        <v>413</v>
      </c>
      <c r="F6" s="128" t="s">
        <v>414</v>
      </c>
      <c r="G6" s="156" t="s">
        <v>415</v>
      </c>
      <c r="H6" s="124" t="s">
        <v>416</v>
      </c>
      <c r="I6" s="123" t="s">
        <v>417</v>
      </c>
      <c r="J6" s="124" t="s">
        <v>418</v>
      </c>
      <c r="K6" s="123" t="s">
        <v>419</v>
      </c>
      <c r="L6" s="124" t="s">
        <v>420</v>
      </c>
      <c r="M6" s="158" t="s">
        <v>421</v>
      </c>
      <c r="N6" s="126" t="s">
        <v>422</v>
      </c>
      <c r="O6" s="126" t="s">
        <v>423</v>
      </c>
      <c r="P6" s="128" t="s">
        <v>424</v>
      </c>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s="20"/>
      <c r="CC6" s="20"/>
      <c r="CD6" s="20"/>
      <c r="CE6" s="20"/>
      <c r="CF6" s="20"/>
      <c r="CG6" s="20"/>
      <c r="CH6" s="20"/>
      <c r="CI6" s="20"/>
      <c r="CJ6" s="20"/>
      <c r="CK6" s="20"/>
      <c r="CL6" s="20"/>
      <c r="CM6" s="20"/>
      <c r="CN6" s="20"/>
      <c r="CO6" s="20"/>
      <c r="CP6" s="20"/>
      <c r="CQ6" s="20"/>
      <c r="CR6" s="20"/>
      <c r="CS6" s="20"/>
      <c r="CT6" s="20"/>
      <c r="CU6" s="20"/>
      <c r="CV6" s="20"/>
      <c r="CW6" s="20"/>
      <c r="CX6" s="20"/>
      <c r="CY6" s="20"/>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row>
    <row r="7" spans="1:301" ht="73.2" thickTop="1" thickBot="1" x14ac:dyDescent="0.35">
      <c r="A7" s="7" t="str">
        <f>IF(ISBLANK(B7),"","RQ"&amp;TEXT(ROW()-6,"000"))</f>
        <v>RQ001</v>
      </c>
      <c r="B7" s="19" t="s">
        <v>342</v>
      </c>
      <c r="C7" s="74"/>
      <c r="D7" s="120">
        <f t="shared" ref="D7:D48" si="1">100-COUNTBLANK(E7:CZ7)</f>
        <v>6</v>
      </c>
      <c r="E7" s="160">
        <v>-2</v>
      </c>
      <c r="F7" s="161">
        <v>1</v>
      </c>
      <c r="G7"/>
      <c r="H7"/>
      <c r="I7"/>
      <c r="J7"/>
      <c r="K7"/>
      <c r="L7"/>
      <c r="M7" s="160">
        <v>-2</v>
      </c>
      <c r="N7" s="163">
        <v>-1</v>
      </c>
      <c r="O7" s="164">
        <v>0</v>
      </c>
      <c r="P7" s="165">
        <v>1</v>
      </c>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s="19"/>
    </row>
    <row r="8" spans="1:301" ht="65.400000000000006" customHeight="1" thickTop="1" thickBot="1" x14ac:dyDescent="0.35">
      <c r="A8" s="7" t="str">
        <f t="shared" ref="A8:A29" si="2">IF(ISBLANK(B8),"","RQ"&amp;TEXT(ROW()-6,"000"))</f>
        <v>RQ002</v>
      </c>
      <c r="B8" s="19" t="s">
        <v>190</v>
      </c>
      <c r="C8" s="74" t="s">
        <v>217</v>
      </c>
      <c r="D8" s="120">
        <f t="shared" si="1"/>
        <v>5</v>
      </c>
      <c r="E8"/>
      <c r="F8" s="129">
        <v>1</v>
      </c>
      <c r="G8" s="159">
        <v>-1</v>
      </c>
      <c r="H8"/>
      <c r="I8"/>
      <c r="J8"/>
      <c r="K8"/>
      <c r="L8" s="125">
        <v>-1</v>
      </c>
      <c r="M8"/>
      <c r="N8"/>
      <c r="O8" s="127">
        <v>0</v>
      </c>
      <c r="P8" s="129">
        <v>1</v>
      </c>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s="19"/>
    </row>
    <row r="9" spans="1:301" ht="44.4" thickTop="1" thickBot="1" x14ac:dyDescent="0.35">
      <c r="A9" s="7" t="str">
        <f t="shared" si="2"/>
        <v>RQ003</v>
      </c>
      <c r="B9" s="19" t="s">
        <v>339</v>
      </c>
      <c r="C9" s="74" t="s">
        <v>225</v>
      </c>
      <c r="D9" s="120">
        <f t="shared" si="1"/>
        <v>3</v>
      </c>
      <c r="E9" s="157">
        <v>-2</v>
      </c>
      <c r="F9" s="129">
        <v>1</v>
      </c>
      <c r="G9"/>
      <c r="H9"/>
      <c r="I9"/>
      <c r="J9"/>
      <c r="K9"/>
      <c r="L9"/>
      <c r="M9"/>
      <c r="N9"/>
      <c r="O9"/>
      <c r="P9" s="129">
        <v>1</v>
      </c>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s="19"/>
    </row>
    <row r="10" spans="1:301" ht="44.4" thickTop="1" thickBot="1" x14ac:dyDescent="0.35">
      <c r="A10" s="7" t="str">
        <f t="shared" si="2"/>
        <v>RQ004</v>
      </c>
      <c r="B10" s="19" t="s">
        <v>196</v>
      </c>
      <c r="C10" s="74" t="s">
        <v>215</v>
      </c>
      <c r="D10" s="120">
        <f t="shared" si="1"/>
        <v>0</v>
      </c>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s="19"/>
    </row>
    <row r="11" spans="1:301" ht="37.200000000000003" customHeight="1" thickTop="1" thickBot="1" x14ac:dyDescent="0.35">
      <c r="A11" s="7" t="str">
        <f t="shared" si="2"/>
        <v>RQ005</v>
      </c>
      <c r="B11" s="19" t="s">
        <v>294</v>
      </c>
      <c r="C11" s="74"/>
      <c r="D11" s="120">
        <f t="shared" si="1"/>
        <v>1</v>
      </c>
      <c r="E11"/>
      <c r="F11"/>
      <c r="G11"/>
      <c r="H11"/>
      <c r="I11"/>
      <c r="J11"/>
      <c r="K11"/>
      <c r="L11"/>
      <c r="M11" s="159">
        <v>-1</v>
      </c>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s="19"/>
    </row>
    <row r="12" spans="1:301" ht="30" thickTop="1" thickBot="1" x14ac:dyDescent="0.35">
      <c r="A12" s="7" t="str">
        <f t="shared" si="2"/>
        <v>RQ006</v>
      </c>
      <c r="B12" s="19" t="s">
        <v>295</v>
      </c>
      <c r="C12" s="74"/>
      <c r="D12" s="120">
        <f t="shared" si="1"/>
        <v>1</v>
      </c>
      <c r="E12"/>
      <c r="F12"/>
      <c r="G12"/>
      <c r="H12"/>
      <c r="I12"/>
      <c r="J12"/>
      <c r="K12"/>
      <c r="L12"/>
      <c r="M12" s="159">
        <v>-1</v>
      </c>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row>
    <row r="13" spans="1:301" ht="44.4" thickTop="1" thickBot="1" x14ac:dyDescent="0.35">
      <c r="A13" s="7" t="str">
        <f t="shared" si="2"/>
        <v>RQ007</v>
      </c>
      <c r="B13" s="19" t="s">
        <v>296</v>
      </c>
      <c r="C13" s="74"/>
      <c r="D13" s="120">
        <f t="shared" si="1"/>
        <v>3</v>
      </c>
      <c r="E13" s="159">
        <v>-1</v>
      </c>
      <c r="F13" s="129">
        <v>1</v>
      </c>
      <c r="G13"/>
      <c r="H13"/>
      <c r="I13"/>
      <c r="J13"/>
      <c r="K13"/>
      <c r="L13"/>
      <c r="M13" s="159">
        <v>-1</v>
      </c>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row>
    <row r="14" spans="1:301" ht="30" thickTop="1" thickBot="1" x14ac:dyDescent="0.35">
      <c r="A14" s="7" t="str">
        <f t="shared" si="2"/>
        <v>RQ008</v>
      </c>
      <c r="B14" s="19" t="s">
        <v>297</v>
      </c>
      <c r="C14" s="74"/>
      <c r="D14" s="120">
        <f t="shared" si="1"/>
        <v>3</v>
      </c>
      <c r="E14" s="159">
        <v>-1</v>
      </c>
      <c r="F14" s="129">
        <v>1</v>
      </c>
      <c r="G14"/>
      <c r="H14"/>
      <c r="I14"/>
      <c r="J14"/>
      <c r="K14"/>
      <c r="L14"/>
      <c r="M14" s="159">
        <v>-1</v>
      </c>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row>
    <row r="15" spans="1:301" ht="43.8" thickTop="1" x14ac:dyDescent="0.3">
      <c r="A15" s="7" t="str">
        <f t="shared" si="2"/>
        <v>RQ009</v>
      </c>
      <c r="B15" s="19" t="s">
        <v>299</v>
      </c>
      <c r="C15" s="74"/>
      <c r="D15" s="120">
        <f t="shared" si="1"/>
        <v>0</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row>
    <row r="16" spans="1:301" ht="28.8" x14ac:dyDescent="0.3">
      <c r="A16" s="7" t="str">
        <f t="shared" si="2"/>
        <v>RQ010</v>
      </c>
      <c r="B16" s="19" t="s">
        <v>298</v>
      </c>
      <c r="C16" s="74"/>
      <c r="D16" s="120">
        <f t="shared" si="1"/>
        <v>0</v>
      </c>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row>
    <row r="17" spans="1:79" ht="28.8" x14ac:dyDescent="0.3">
      <c r="A17" s="7" t="str">
        <f t="shared" si="2"/>
        <v>RQ011</v>
      </c>
      <c r="B17" s="19" t="s">
        <v>300</v>
      </c>
      <c r="C17" s="74"/>
      <c r="D17" s="120">
        <f t="shared" si="1"/>
        <v>0</v>
      </c>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row>
    <row r="18" spans="1:79" ht="29.4" thickBot="1" x14ac:dyDescent="0.35">
      <c r="A18" s="7" t="str">
        <f t="shared" si="2"/>
        <v>RQ012</v>
      </c>
      <c r="B18" s="19" t="s">
        <v>301</v>
      </c>
      <c r="C18" s="74"/>
      <c r="D18" s="120">
        <f t="shared" si="1"/>
        <v>0</v>
      </c>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row>
    <row r="19" spans="1:79" ht="44.4" thickTop="1" thickBot="1" x14ac:dyDescent="0.35">
      <c r="A19" s="7" t="str">
        <f t="shared" si="2"/>
        <v>RQ013</v>
      </c>
      <c r="B19" s="19" t="s">
        <v>302</v>
      </c>
      <c r="C19" s="74"/>
      <c r="D19" s="120">
        <f t="shared" si="1"/>
        <v>2</v>
      </c>
      <c r="E19"/>
      <c r="F19"/>
      <c r="G19"/>
      <c r="H19"/>
      <c r="I19"/>
      <c r="J19"/>
      <c r="K19"/>
      <c r="L19"/>
      <c r="M19"/>
      <c r="N19" s="125">
        <v>-1</v>
      </c>
      <c r="O19" s="127">
        <v>0</v>
      </c>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row>
    <row r="20" spans="1:79" ht="36.6" customHeight="1" thickTop="1" thickBot="1" x14ac:dyDescent="0.35">
      <c r="A20" s="7" t="str">
        <f t="shared" si="2"/>
        <v>RQ014</v>
      </c>
      <c r="B20" s="19" t="s">
        <v>303</v>
      </c>
      <c r="C20" s="74"/>
      <c r="D20" s="120">
        <f t="shared" si="1"/>
        <v>2</v>
      </c>
      <c r="E20"/>
      <c r="F20"/>
      <c r="G20"/>
      <c r="H20"/>
      <c r="I20"/>
      <c r="J20"/>
      <c r="K20"/>
      <c r="L20"/>
      <c r="M20"/>
      <c r="N20" s="125">
        <v>-1</v>
      </c>
      <c r="O20" s="127">
        <v>0</v>
      </c>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row>
    <row r="21" spans="1:79" ht="43.8" thickTop="1" x14ac:dyDescent="0.3">
      <c r="A21" s="7" t="str">
        <f t="shared" si="2"/>
        <v>RQ015</v>
      </c>
      <c r="B21" s="19" t="s">
        <v>310</v>
      </c>
      <c r="C21" s="74"/>
      <c r="D21" s="120">
        <f t="shared" si="1"/>
        <v>0</v>
      </c>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row>
    <row r="22" spans="1:79" ht="43.8" thickBot="1" x14ac:dyDescent="0.35">
      <c r="A22" s="7" t="str">
        <f t="shared" si="2"/>
        <v>RQ016</v>
      </c>
      <c r="B22" s="19" t="s">
        <v>304</v>
      </c>
      <c r="C22" s="74"/>
      <c r="D22" s="120">
        <f t="shared" si="1"/>
        <v>0</v>
      </c>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row>
    <row r="23" spans="1:79" ht="44.4" thickTop="1" thickBot="1" x14ac:dyDescent="0.35">
      <c r="A23" s="7" t="str">
        <f t="shared" si="2"/>
        <v>RQ017</v>
      </c>
      <c r="B23" s="19" t="s">
        <v>305</v>
      </c>
      <c r="C23" s="74" t="s">
        <v>217</v>
      </c>
      <c r="D23" s="120">
        <f t="shared" si="1"/>
        <v>4</v>
      </c>
      <c r="E23" s="159">
        <v>-1</v>
      </c>
      <c r="F23" s="129">
        <v>1</v>
      </c>
      <c r="G23" s="162">
        <v>0</v>
      </c>
      <c r="H23"/>
      <c r="I23"/>
      <c r="J23"/>
      <c r="K23"/>
      <c r="L23" s="125">
        <v>-1</v>
      </c>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row>
    <row r="24" spans="1:79" ht="43.8" thickTop="1" x14ac:dyDescent="0.3">
      <c r="A24" s="7" t="str">
        <f t="shared" si="2"/>
        <v>RQ018</v>
      </c>
      <c r="B24" s="19" t="s">
        <v>376</v>
      </c>
      <c r="C24" s="74"/>
      <c r="D24" s="120">
        <f t="shared" si="1"/>
        <v>0</v>
      </c>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row>
    <row r="25" spans="1:79" ht="57.6" x14ac:dyDescent="0.3">
      <c r="A25" s="7" t="str">
        <f t="shared" si="2"/>
        <v>RQ019</v>
      </c>
      <c r="B25" s="19" t="s">
        <v>349</v>
      </c>
      <c r="C25" s="74"/>
      <c r="D25" s="120">
        <f t="shared" si="1"/>
        <v>0</v>
      </c>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row>
    <row r="26" spans="1:79" ht="28.8" x14ac:dyDescent="0.3">
      <c r="A26" s="7" t="str">
        <f t="shared" si="2"/>
        <v>RQ020</v>
      </c>
      <c r="B26" s="19" t="s">
        <v>306</v>
      </c>
      <c r="C26" s="74"/>
      <c r="D26" s="120">
        <f t="shared" si="1"/>
        <v>0</v>
      </c>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row>
    <row r="27" spans="1:79" ht="43.8" thickBot="1" x14ac:dyDescent="0.35">
      <c r="A27" s="7" t="str">
        <f t="shared" si="2"/>
        <v>RQ021</v>
      </c>
      <c r="B27" s="19" t="s">
        <v>350</v>
      </c>
      <c r="C27" s="74"/>
      <c r="D27" s="120">
        <f t="shared" si="1"/>
        <v>0</v>
      </c>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row>
    <row r="28" spans="1:79" ht="30" thickTop="1" thickBot="1" x14ac:dyDescent="0.35">
      <c r="A28" s="7" t="str">
        <f t="shared" si="2"/>
        <v>RQ022</v>
      </c>
      <c r="B28" s="19" t="s">
        <v>307</v>
      </c>
      <c r="C28" s="74"/>
      <c r="D28" s="120">
        <f t="shared" si="1"/>
        <v>2</v>
      </c>
      <c r="E28"/>
      <c r="F28"/>
      <c r="G28"/>
      <c r="H28"/>
      <c r="I28"/>
      <c r="J28"/>
      <c r="K28"/>
      <c r="L28"/>
      <c r="M28"/>
      <c r="N28" s="125">
        <v>-1</v>
      </c>
      <c r="O28" s="127">
        <v>0</v>
      </c>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row>
    <row r="29" spans="1:79" ht="43.8" thickTop="1" x14ac:dyDescent="0.3">
      <c r="A29" s="7" t="str">
        <f t="shared" si="2"/>
        <v>RQ023</v>
      </c>
      <c r="B29" s="19" t="s">
        <v>309</v>
      </c>
      <c r="C29" s="74"/>
      <c r="D29" s="120">
        <f t="shared" si="1"/>
        <v>0</v>
      </c>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row>
    <row r="30" spans="1:79" ht="58.2" thickBot="1" x14ac:dyDescent="0.35">
      <c r="A30" s="7" t="s">
        <v>312</v>
      </c>
      <c r="B30" s="19" t="s">
        <v>313</v>
      </c>
      <c r="C30" s="74"/>
      <c r="D30" s="120">
        <f t="shared" si="1"/>
        <v>0</v>
      </c>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row>
    <row r="31" spans="1:79" ht="44.4" thickTop="1" thickBot="1" x14ac:dyDescent="0.35">
      <c r="A31" s="7" t="s">
        <v>311</v>
      </c>
      <c r="B31" s="19" t="s">
        <v>314</v>
      </c>
      <c r="C31" s="74"/>
      <c r="D31" s="120">
        <f t="shared" si="1"/>
        <v>1</v>
      </c>
      <c r="E31"/>
      <c r="F31"/>
      <c r="G31"/>
      <c r="H31" s="127">
        <v>0</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row>
    <row r="32" spans="1:79" ht="44.4" thickTop="1" thickBot="1" x14ac:dyDescent="0.35">
      <c r="A32" s="7" t="s">
        <v>315</v>
      </c>
      <c r="B32" s="19" t="s">
        <v>317</v>
      </c>
      <c r="C32" s="74"/>
      <c r="D32" s="120">
        <f t="shared" si="1"/>
        <v>0</v>
      </c>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row>
    <row r="33" spans="1:79" ht="44.4" thickTop="1" thickBot="1" x14ac:dyDescent="0.35">
      <c r="A33" s="7" t="s">
        <v>316</v>
      </c>
      <c r="B33" s="19" t="s">
        <v>318</v>
      </c>
      <c r="C33" s="74"/>
      <c r="D33" s="120">
        <f t="shared" si="1"/>
        <v>1</v>
      </c>
      <c r="E33"/>
      <c r="F33"/>
      <c r="G33"/>
      <c r="H33"/>
      <c r="I33" s="127">
        <v>0</v>
      </c>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row>
    <row r="34" spans="1:79" ht="30" thickTop="1" thickBot="1" x14ac:dyDescent="0.35">
      <c r="A34" s="7" t="s">
        <v>319</v>
      </c>
      <c r="B34" s="19" t="s">
        <v>320</v>
      </c>
      <c r="C34" s="74" t="s">
        <v>232</v>
      </c>
      <c r="D34" s="120">
        <f t="shared" si="1"/>
        <v>1</v>
      </c>
      <c r="E34"/>
      <c r="F34"/>
      <c r="G34"/>
      <c r="H34"/>
      <c r="I34" s="127">
        <v>0</v>
      </c>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row>
    <row r="35" spans="1:79" ht="74.400000000000006" customHeight="1" thickTop="1" thickBot="1" x14ac:dyDescent="0.35">
      <c r="A35" s="7" t="s">
        <v>321</v>
      </c>
      <c r="B35" s="19" t="s">
        <v>338</v>
      </c>
      <c r="C35" s="74"/>
      <c r="D35" s="120">
        <f t="shared" si="1"/>
        <v>1</v>
      </c>
      <c r="E35"/>
      <c r="F35"/>
      <c r="G35"/>
      <c r="H35"/>
      <c r="I35"/>
      <c r="J35" s="125">
        <v>-1</v>
      </c>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row>
    <row r="36" spans="1:79" ht="58.2" thickTop="1" x14ac:dyDescent="0.3">
      <c r="A36" s="7" t="s">
        <v>322</v>
      </c>
      <c r="B36" s="19" t="s">
        <v>323</v>
      </c>
      <c r="C36" s="74"/>
      <c r="D36" s="120">
        <f t="shared" si="1"/>
        <v>0</v>
      </c>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row>
    <row r="37" spans="1:79" ht="43.8" thickBot="1" x14ac:dyDescent="0.35">
      <c r="A37" s="7" t="s">
        <v>324</v>
      </c>
      <c r="B37" s="19" t="s">
        <v>325</v>
      </c>
      <c r="C37" s="74"/>
      <c r="D37" s="120">
        <f t="shared" si="1"/>
        <v>0</v>
      </c>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row>
    <row r="38" spans="1:79" ht="73.2" thickTop="1" thickBot="1" x14ac:dyDescent="0.35">
      <c r="A38" s="7" t="s">
        <v>326</v>
      </c>
      <c r="B38" s="19" t="s">
        <v>327</v>
      </c>
      <c r="C38" s="74"/>
      <c r="D38" s="120">
        <f t="shared" si="1"/>
        <v>1</v>
      </c>
      <c r="E38"/>
      <c r="F38"/>
      <c r="G38"/>
      <c r="H38"/>
      <c r="I38"/>
      <c r="J38"/>
      <c r="K38" s="127">
        <v>0</v>
      </c>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row>
    <row r="39" spans="1:79" ht="15.6" thickTop="1" thickBot="1" x14ac:dyDescent="0.35">
      <c r="A39" s="7" t="s">
        <v>328</v>
      </c>
      <c r="B39" s="19" t="s">
        <v>329</v>
      </c>
      <c r="C39" s="74"/>
      <c r="D39" s="120">
        <f t="shared" si="1"/>
        <v>4</v>
      </c>
      <c r="E39"/>
      <c r="F39"/>
      <c r="G39"/>
      <c r="H39" s="125">
        <v>-1</v>
      </c>
      <c r="I39" s="125">
        <v>-1</v>
      </c>
      <c r="J39" s="125">
        <v>-1</v>
      </c>
      <c r="K39" s="125">
        <v>-1</v>
      </c>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row>
    <row r="40" spans="1:79" ht="43.8" thickTop="1" x14ac:dyDescent="0.3">
      <c r="A40" s="7" t="s">
        <v>330</v>
      </c>
      <c r="B40" s="19" t="s">
        <v>334</v>
      </c>
      <c r="C40" s="74"/>
      <c r="D40" s="120">
        <f t="shared" si="1"/>
        <v>0</v>
      </c>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row>
    <row r="41" spans="1:79" ht="57.6" x14ac:dyDescent="0.3">
      <c r="A41" s="7" t="s">
        <v>331</v>
      </c>
      <c r="B41" s="19" t="s">
        <v>337</v>
      </c>
      <c r="C41" s="74"/>
      <c r="D41" s="120">
        <f t="shared" si="1"/>
        <v>0</v>
      </c>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row>
    <row r="42" spans="1:79" ht="57.6" x14ac:dyDescent="0.3">
      <c r="A42" s="7" t="s">
        <v>332</v>
      </c>
      <c r="B42" s="19" t="s">
        <v>333</v>
      </c>
      <c r="C42" s="74" t="s">
        <v>227</v>
      </c>
      <c r="D42" s="120">
        <f t="shared" si="1"/>
        <v>0</v>
      </c>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row>
    <row r="43" spans="1:79" ht="58.2" thickBot="1" x14ac:dyDescent="0.35">
      <c r="A43" s="7" t="s">
        <v>335</v>
      </c>
      <c r="B43" s="19" t="s">
        <v>336</v>
      </c>
      <c r="C43" s="74" t="s">
        <v>227</v>
      </c>
      <c r="D43" s="120">
        <f t="shared" si="1"/>
        <v>0</v>
      </c>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row>
    <row r="44" spans="1:79" ht="102" thickTop="1" thickBot="1" x14ac:dyDescent="0.35">
      <c r="A44" s="7" t="s">
        <v>340</v>
      </c>
      <c r="B44" s="19" t="s">
        <v>341</v>
      </c>
      <c r="C44" s="74"/>
      <c r="D44" s="120">
        <f t="shared" si="1"/>
        <v>1</v>
      </c>
      <c r="E44" s="159">
        <v>-1</v>
      </c>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row>
    <row r="45" spans="1:79" ht="73.2" thickTop="1" thickBot="1" x14ac:dyDescent="0.35">
      <c r="A45" s="7" t="s">
        <v>343</v>
      </c>
      <c r="B45" s="19" t="s">
        <v>344</v>
      </c>
      <c r="C45" s="74"/>
      <c r="D45" s="120">
        <f t="shared" si="1"/>
        <v>1</v>
      </c>
      <c r="E45"/>
      <c r="F45"/>
      <c r="G45"/>
      <c r="H45"/>
      <c r="I45"/>
      <c r="J45" s="127">
        <v>0</v>
      </c>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row>
    <row r="46" spans="1:79" ht="58.8" thickTop="1" thickBot="1" x14ac:dyDescent="0.35">
      <c r="A46" s="7" t="s">
        <v>345</v>
      </c>
      <c r="B46" s="19" t="s">
        <v>346</v>
      </c>
      <c r="C46" s="74" t="s">
        <v>217</v>
      </c>
      <c r="D46" s="120">
        <f t="shared" si="1"/>
        <v>1</v>
      </c>
      <c r="E46"/>
      <c r="F46"/>
      <c r="G46"/>
      <c r="H46"/>
      <c r="I46"/>
      <c r="J46"/>
      <c r="K46"/>
      <c r="L46" s="127">
        <v>0</v>
      </c>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row>
    <row r="47" spans="1:79" ht="58.8" thickTop="1" thickBot="1" x14ac:dyDescent="0.35">
      <c r="A47" s="7" t="s">
        <v>347</v>
      </c>
      <c r="B47" s="19" t="s">
        <v>348</v>
      </c>
      <c r="C47" s="74" t="s">
        <v>217</v>
      </c>
      <c r="D47" s="120">
        <f t="shared" si="1"/>
        <v>1</v>
      </c>
      <c r="E47"/>
      <c r="F47"/>
      <c r="G47"/>
      <c r="H47"/>
      <c r="I47"/>
      <c r="J47"/>
      <c r="K47"/>
      <c r="L47" s="127">
        <v>0</v>
      </c>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row>
    <row r="48" spans="1:79" ht="58.2" thickTop="1" x14ac:dyDescent="0.3">
      <c r="A48" s="7" t="s">
        <v>352</v>
      </c>
      <c r="B48" s="19" t="s">
        <v>353</v>
      </c>
      <c r="C48" s="74"/>
      <c r="D48" s="120">
        <f t="shared" si="1"/>
        <v>0</v>
      </c>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row>
    <row r="49" spans="1:79" ht="43.2" x14ac:dyDescent="0.3">
      <c r="A49" s="7" t="s">
        <v>354</v>
      </c>
      <c r="B49" s="19" t="s">
        <v>355</v>
      </c>
      <c r="C49" s="74"/>
      <c r="D49" s="120">
        <f>100-COUNTBLANK(E49:CZ49)</f>
        <v>0</v>
      </c>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row>
    <row r="50" spans="1:79" ht="43.2" x14ac:dyDescent="0.3">
      <c r="A50" s="7" t="s">
        <v>357</v>
      </c>
      <c r="B50" s="19" t="s">
        <v>358</v>
      </c>
      <c r="C50" s="74"/>
      <c r="D50" s="120">
        <f t="shared" ref="D50:D81" si="3">100-COUNTBLANK(E50:CZ50)</f>
        <v>0</v>
      </c>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row>
    <row r="51" spans="1:79" ht="43.2" x14ac:dyDescent="0.3">
      <c r="A51" s="7" t="s">
        <v>360</v>
      </c>
      <c r="B51" s="19" t="s">
        <v>359</v>
      </c>
      <c r="C51" s="74"/>
      <c r="D51" s="120">
        <f t="shared" si="3"/>
        <v>0</v>
      </c>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row>
    <row r="52" spans="1:79" ht="28.8" x14ac:dyDescent="0.3">
      <c r="A52" s="7" t="s">
        <v>361</v>
      </c>
      <c r="B52" s="19" t="s">
        <v>362</v>
      </c>
      <c r="C52" s="74"/>
      <c r="D52" s="120">
        <f t="shared" si="3"/>
        <v>0</v>
      </c>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row>
    <row r="53" spans="1:79" ht="43.2" x14ac:dyDescent="0.3">
      <c r="A53" s="7" t="s">
        <v>363</v>
      </c>
      <c r="B53" s="19" t="s">
        <v>364</v>
      </c>
      <c r="C53" s="74"/>
      <c r="D53" s="120">
        <f t="shared" si="3"/>
        <v>0</v>
      </c>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row>
    <row r="54" spans="1:79" ht="43.2" x14ac:dyDescent="0.3">
      <c r="A54" s="7" t="s">
        <v>365</v>
      </c>
      <c r="B54" s="19" t="s">
        <v>366</v>
      </c>
      <c r="C54" s="74" t="s">
        <v>227</v>
      </c>
      <c r="D54" s="120">
        <f t="shared" si="3"/>
        <v>0</v>
      </c>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row>
    <row r="55" spans="1:79" ht="28.8" x14ac:dyDescent="0.3">
      <c r="A55" s="7" t="s">
        <v>367</v>
      </c>
      <c r="B55" s="19" t="s">
        <v>368</v>
      </c>
      <c r="C55" s="74" t="s">
        <v>225</v>
      </c>
      <c r="D55" s="120">
        <f t="shared" si="3"/>
        <v>0</v>
      </c>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row>
    <row r="56" spans="1:79" ht="57.6" x14ac:dyDescent="0.3">
      <c r="A56" s="7" t="s">
        <v>369</v>
      </c>
      <c r="B56" s="19" t="s">
        <v>370</v>
      </c>
      <c r="C56" s="74" t="s">
        <v>225</v>
      </c>
      <c r="D56" s="120">
        <f t="shared" si="3"/>
        <v>0</v>
      </c>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row>
    <row r="57" spans="1:79" ht="28.8" x14ac:dyDescent="0.3">
      <c r="A57" s="7" t="s">
        <v>371</v>
      </c>
      <c r="B57" s="19" t="s">
        <v>372</v>
      </c>
      <c r="C57" s="74"/>
      <c r="D57" s="120">
        <f t="shared" si="3"/>
        <v>0</v>
      </c>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row>
    <row r="58" spans="1:79" ht="43.2" x14ac:dyDescent="0.3">
      <c r="A58" s="7" t="s">
        <v>373</v>
      </c>
      <c r="B58" s="19" t="s">
        <v>374</v>
      </c>
      <c r="C58" s="74"/>
      <c r="D58" s="120">
        <f t="shared" si="3"/>
        <v>0</v>
      </c>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row>
    <row r="59" spans="1:79" ht="28.8" x14ac:dyDescent="0.3">
      <c r="A59" s="7" t="s">
        <v>378</v>
      </c>
      <c r="B59" s="19" t="s">
        <v>375</v>
      </c>
      <c r="C59" s="74"/>
      <c r="D59" s="120">
        <f t="shared" si="3"/>
        <v>0</v>
      </c>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row>
    <row r="60" spans="1:79" ht="43.2" x14ac:dyDescent="0.3">
      <c r="A60" s="7" t="s">
        <v>379</v>
      </c>
      <c r="B60" s="19" t="s">
        <v>377</v>
      </c>
      <c r="C60" s="74"/>
      <c r="D60" s="120">
        <f t="shared" si="3"/>
        <v>0</v>
      </c>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row>
    <row r="61" spans="1:79" ht="28.8" x14ac:dyDescent="0.3">
      <c r="A61" s="7" t="s">
        <v>381</v>
      </c>
      <c r="B61" s="19" t="s">
        <v>382</v>
      </c>
      <c r="C61" s="74" t="s">
        <v>227</v>
      </c>
      <c r="D61" s="120">
        <f t="shared" si="3"/>
        <v>0</v>
      </c>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row>
    <row r="62" spans="1:79" ht="43.2" x14ac:dyDescent="0.3">
      <c r="A62" s="7" t="s">
        <v>383</v>
      </c>
      <c r="B62" s="19" t="s">
        <v>384</v>
      </c>
      <c r="C62" s="74" t="s">
        <v>227</v>
      </c>
      <c r="D62" s="120">
        <f t="shared" si="3"/>
        <v>0</v>
      </c>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row>
    <row r="63" spans="1:79" ht="28.8" x14ac:dyDescent="0.3">
      <c r="A63" s="7" t="s">
        <v>385</v>
      </c>
      <c r="B63" s="19" t="s">
        <v>386</v>
      </c>
      <c r="C63" s="74" t="s">
        <v>232</v>
      </c>
      <c r="D63" s="120">
        <f t="shared" si="3"/>
        <v>0</v>
      </c>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row>
    <row r="64" spans="1:79" ht="43.2" x14ac:dyDescent="0.3">
      <c r="A64" s="7" t="s">
        <v>387</v>
      </c>
      <c r="B64" s="19" t="s">
        <v>388</v>
      </c>
      <c r="C64" s="74" t="s">
        <v>232</v>
      </c>
      <c r="D64" s="120">
        <f t="shared" si="3"/>
        <v>0</v>
      </c>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row>
    <row r="65" spans="1:79" ht="28.8" x14ac:dyDescent="0.3">
      <c r="A65" s="7" t="s">
        <v>389</v>
      </c>
      <c r="B65" s="19" t="s">
        <v>390</v>
      </c>
      <c r="C65" s="74" t="s">
        <v>220</v>
      </c>
      <c r="D65" s="120">
        <f t="shared" si="3"/>
        <v>0</v>
      </c>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row>
    <row r="66" spans="1:79" ht="28.8" x14ac:dyDescent="0.3">
      <c r="A66" s="7" t="s">
        <v>391</v>
      </c>
      <c r="B66" s="19" t="s">
        <v>392</v>
      </c>
      <c r="C66" s="74" t="s">
        <v>232</v>
      </c>
      <c r="D66" s="120">
        <f t="shared" si="3"/>
        <v>0</v>
      </c>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row>
    <row r="67" spans="1:79" ht="28.8" x14ac:dyDescent="0.3">
      <c r="A67" s="7" t="s">
        <v>393</v>
      </c>
      <c r="B67" s="19" t="s">
        <v>395</v>
      </c>
      <c r="C67" s="74" t="s">
        <v>225</v>
      </c>
      <c r="D67" s="120">
        <f t="shared" si="3"/>
        <v>0</v>
      </c>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row>
    <row r="68" spans="1:79" ht="43.2" x14ac:dyDescent="0.3">
      <c r="A68" s="7" t="s">
        <v>394</v>
      </c>
      <c r="B68" s="19" t="s">
        <v>396</v>
      </c>
      <c r="C68" s="74" t="s">
        <v>225</v>
      </c>
      <c r="D68" s="120">
        <f t="shared" si="3"/>
        <v>0</v>
      </c>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row>
    <row r="69" spans="1:79" ht="28.8" x14ac:dyDescent="0.3">
      <c r="A69" s="7" t="s">
        <v>397</v>
      </c>
      <c r="B69" s="19" t="s">
        <v>398</v>
      </c>
      <c r="C69" s="74"/>
      <c r="D69" s="120">
        <f t="shared" si="3"/>
        <v>0</v>
      </c>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row>
    <row r="70" spans="1:79" ht="28.8" x14ac:dyDescent="0.3">
      <c r="A70" s="7" t="s">
        <v>399</v>
      </c>
      <c r="B70" s="19" t="s">
        <v>400</v>
      </c>
      <c r="C70" s="74"/>
      <c r="D70" s="120">
        <f t="shared" si="3"/>
        <v>0</v>
      </c>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row>
    <row r="71" spans="1:79" x14ac:dyDescent="0.3">
      <c r="A71" s="7" t="s">
        <v>401</v>
      </c>
      <c r="B71" s="19" t="s">
        <v>403</v>
      </c>
      <c r="C71" s="74" t="s">
        <v>227</v>
      </c>
      <c r="D71" s="120">
        <f t="shared" si="3"/>
        <v>0</v>
      </c>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row>
    <row r="72" spans="1:79" ht="43.2" x14ac:dyDescent="0.3">
      <c r="A72" s="7" t="s">
        <v>402</v>
      </c>
      <c r="B72" s="19" t="s">
        <v>407</v>
      </c>
      <c r="C72" s="74" t="s">
        <v>215</v>
      </c>
      <c r="D72" s="120">
        <f t="shared" si="3"/>
        <v>0</v>
      </c>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row>
    <row r="73" spans="1:79" x14ac:dyDescent="0.3">
      <c r="A73" s="7" t="s">
        <v>404</v>
      </c>
      <c r="B73" s="19" t="s">
        <v>405</v>
      </c>
      <c r="C73" s="74" t="s">
        <v>232</v>
      </c>
      <c r="D73" s="120">
        <f t="shared" si="3"/>
        <v>0</v>
      </c>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row>
    <row r="74" spans="1:79" ht="28.8" x14ac:dyDescent="0.3">
      <c r="A74" s="7" t="s">
        <v>406</v>
      </c>
      <c r="B74" s="19" t="s">
        <v>408</v>
      </c>
      <c r="C74" s="74"/>
      <c r="D74" s="120">
        <f t="shared" si="3"/>
        <v>0</v>
      </c>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row>
    <row r="75" spans="1:79" x14ac:dyDescent="0.3">
      <c r="A75" s="7" t="str">
        <f t="shared" ref="A75:A77" si="4">IF(ISBLANK(B75),"","RQ"&amp;TEXT(ROW()-4,"000"))</f>
        <v/>
      </c>
      <c r="B75" s="19"/>
      <c r="C75" s="74"/>
      <c r="D75" s="120">
        <f t="shared" si="3"/>
        <v>0</v>
      </c>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row>
    <row r="76" spans="1:79" x14ac:dyDescent="0.3">
      <c r="A76" s="7" t="str">
        <f t="shared" si="4"/>
        <v/>
      </c>
      <c r="B76" s="19"/>
      <c r="C76" s="74"/>
      <c r="D76" s="120">
        <f t="shared" si="3"/>
        <v>0</v>
      </c>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row>
    <row r="77" spans="1:79" x14ac:dyDescent="0.3">
      <c r="A77" s="7" t="str">
        <f t="shared" si="4"/>
        <v/>
      </c>
      <c r="B77" s="19"/>
      <c r="C77" s="74"/>
      <c r="D77" s="120">
        <f t="shared" si="3"/>
        <v>0</v>
      </c>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row>
    <row r="78" spans="1:79" x14ac:dyDescent="0.3">
      <c r="A78" s="7" t="str">
        <f t="shared" ref="A78:A100" si="5">IF(ISBLANK(B78),"","RQ"&amp;TEXT(ROW()-3,"000"))</f>
        <v/>
      </c>
      <c r="B78" s="19"/>
      <c r="C78" s="74"/>
      <c r="D78" s="120">
        <f t="shared" si="3"/>
        <v>0</v>
      </c>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row>
    <row r="79" spans="1:79" x14ac:dyDescent="0.3">
      <c r="A79" s="7" t="str">
        <f t="shared" si="5"/>
        <v/>
      </c>
      <c r="B79" s="19"/>
      <c r="C79" s="74"/>
      <c r="D79" s="120">
        <f t="shared" si="3"/>
        <v>0</v>
      </c>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row>
    <row r="80" spans="1:79" x14ac:dyDescent="0.3">
      <c r="A80" s="7" t="str">
        <f t="shared" si="5"/>
        <v/>
      </c>
      <c r="B80" s="19"/>
      <c r="C80" s="74"/>
      <c r="D80" s="120">
        <f t="shared" si="3"/>
        <v>0</v>
      </c>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row>
    <row r="81" spans="1:79" x14ac:dyDescent="0.3">
      <c r="A81" s="7" t="str">
        <f t="shared" si="5"/>
        <v/>
      </c>
      <c r="B81" s="19"/>
      <c r="C81" s="74"/>
      <c r="D81" s="120">
        <f t="shared" si="3"/>
        <v>0</v>
      </c>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row>
    <row r="82" spans="1:79" x14ac:dyDescent="0.3">
      <c r="A82" s="7" t="str">
        <f t="shared" si="5"/>
        <v/>
      </c>
      <c r="B82" s="19"/>
      <c r="C82" s="74"/>
      <c r="D82" s="120"/>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row>
    <row r="83" spans="1:79" x14ac:dyDescent="0.3">
      <c r="A83" s="7" t="str">
        <f t="shared" si="5"/>
        <v/>
      </c>
      <c r="B83" s="19"/>
      <c r="C83" s="74"/>
      <c r="D83" s="120"/>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row>
    <row r="84" spans="1:79" x14ac:dyDescent="0.3">
      <c r="A84" s="7" t="str">
        <f t="shared" si="5"/>
        <v/>
      </c>
      <c r="B84" s="19"/>
      <c r="C84" s="74"/>
      <c r="D84" s="120"/>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row>
    <row r="85" spans="1:79" x14ac:dyDescent="0.3">
      <c r="A85" s="7" t="str">
        <f t="shared" si="5"/>
        <v/>
      </c>
      <c r="B85" s="19"/>
      <c r="C85" s="74"/>
      <c r="D85" s="120"/>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row>
    <row r="86" spans="1:79" x14ac:dyDescent="0.3">
      <c r="A86" s="7" t="str">
        <f t="shared" si="5"/>
        <v/>
      </c>
      <c r="B86" s="19"/>
      <c r="C86" s="74"/>
      <c r="D86" s="120"/>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row>
    <row r="87" spans="1:79" x14ac:dyDescent="0.3">
      <c r="A87" s="7" t="str">
        <f t="shared" si="5"/>
        <v/>
      </c>
      <c r="B87" s="19"/>
      <c r="C87" s="74"/>
      <c r="D87" s="120"/>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row>
    <row r="88" spans="1:79" x14ac:dyDescent="0.3">
      <c r="A88" s="7" t="str">
        <f t="shared" si="5"/>
        <v/>
      </c>
      <c r="B88" s="19"/>
      <c r="C88" s="74"/>
      <c r="D88" s="120"/>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row>
    <row r="89" spans="1:79" x14ac:dyDescent="0.3">
      <c r="A89" s="7" t="str">
        <f t="shared" si="5"/>
        <v/>
      </c>
      <c r="B89" s="19"/>
      <c r="C89" s="74"/>
      <c r="D89" s="120"/>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row>
    <row r="90" spans="1:79" x14ac:dyDescent="0.3">
      <c r="A90" s="7" t="str">
        <f t="shared" si="5"/>
        <v/>
      </c>
      <c r="B90" s="19"/>
      <c r="C90" s="74"/>
      <c r="D90" s="12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row>
    <row r="91" spans="1:79" x14ac:dyDescent="0.3">
      <c r="A91" s="7" t="str">
        <f t="shared" si="5"/>
        <v/>
      </c>
      <c r="B91" s="19"/>
      <c r="C91" s="74"/>
      <c r="D91" s="120"/>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row>
    <row r="92" spans="1:79" x14ac:dyDescent="0.3">
      <c r="A92" s="7" t="str">
        <f t="shared" si="5"/>
        <v/>
      </c>
      <c r="B92" s="19"/>
      <c r="C92" s="74"/>
      <c r="D92" s="120"/>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row>
    <row r="93" spans="1:79" x14ac:dyDescent="0.3">
      <c r="A93" s="7" t="str">
        <f t="shared" si="5"/>
        <v/>
      </c>
      <c r="B93" s="19"/>
      <c r="C93" s="74"/>
      <c r="D93" s="120"/>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row>
    <row r="94" spans="1:79" x14ac:dyDescent="0.3">
      <c r="A94" s="7" t="str">
        <f t="shared" si="5"/>
        <v/>
      </c>
      <c r="B94" s="19"/>
      <c r="C94" s="74"/>
      <c r="D94" s="120"/>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row>
    <row r="95" spans="1:79" x14ac:dyDescent="0.3">
      <c r="A95" s="7" t="str">
        <f t="shared" si="5"/>
        <v/>
      </c>
      <c r="B95" s="19"/>
      <c r="C95" s="74"/>
      <c r="D95" s="120"/>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row>
    <row r="96" spans="1:79" x14ac:dyDescent="0.3">
      <c r="A96" s="7" t="str">
        <f t="shared" si="5"/>
        <v/>
      </c>
      <c r="B96" s="19"/>
      <c r="C96" s="74"/>
      <c r="D96" s="120"/>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row>
    <row r="97" spans="1:79" x14ac:dyDescent="0.3">
      <c r="A97" s="7" t="str">
        <f t="shared" si="5"/>
        <v/>
      </c>
      <c r="B97" s="19"/>
      <c r="C97" s="74"/>
      <c r="D97" s="120"/>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row>
    <row r="98" spans="1:79" x14ac:dyDescent="0.3">
      <c r="A98" s="7" t="str">
        <f t="shared" si="5"/>
        <v/>
      </c>
      <c r="B98" s="19"/>
      <c r="C98" s="74"/>
      <c r="D98" s="120"/>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row>
    <row r="99" spans="1:79" x14ac:dyDescent="0.3">
      <c r="A99" s="7" t="str">
        <f t="shared" si="5"/>
        <v/>
      </c>
      <c r="B99" s="19"/>
      <c r="C99" s="74"/>
      <c r="D99" s="120"/>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row>
    <row r="100" spans="1:79" x14ac:dyDescent="0.3">
      <c r="A100" s="7" t="str">
        <f t="shared" si="5"/>
        <v/>
      </c>
      <c r="B100" s="19"/>
      <c r="C100" s="74"/>
      <c r="D100" s="12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row>
    <row r="101" spans="1:79" x14ac:dyDescent="0.3">
      <c r="A101" s="7" t="str">
        <f t="shared" ref="A101:A164" si="6">IF(ISBLANK(B101),"","RQ"&amp;TEXT(ROW()-3,"000"))</f>
        <v/>
      </c>
      <c r="B101" s="19"/>
      <c r="C101" s="74"/>
      <c r="D101" s="120"/>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row>
    <row r="102" spans="1:79" x14ac:dyDescent="0.3">
      <c r="A102" s="7" t="str">
        <f t="shared" si="6"/>
        <v/>
      </c>
      <c r="B102" s="19"/>
      <c r="C102" s="74"/>
      <c r="D102" s="120"/>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row>
    <row r="103" spans="1:79" x14ac:dyDescent="0.3">
      <c r="A103" s="7" t="str">
        <f t="shared" si="6"/>
        <v/>
      </c>
      <c r="B103" s="19"/>
      <c r="C103" s="74"/>
      <c r="D103" s="120"/>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row>
    <row r="104" spans="1:79" x14ac:dyDescent="0.3">
      <c r="A104" s="7" t="str">
        <f t="shared" si="6"/>
        <v/>
      </c>
      <c r="B104" s="19"/>
      <c r="C104" s="74"/>
      <c r="D104" s="120"/>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row>
    <row r="105" spans="1:79" x14ac:dyDescent="0.3">
      <c r="A105" s="7" t="str">
        <f t="shared" si="6"/>
        <v/>
      </c>
      <c r="B105" s="19"/>
      <c r="C105" s="74"/>
      <c r="D105" s="120"/>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row>
    <row r="106" spans="1:79" x14ac:dyDescent="0.3">
      <c r="A106" s="7" t="str">
        <f t="shared" si="6"/>
        <v/>
      </c>
      <c r="B106" s="19"/>
      <c r="C106" s="74"/>
      <c r="D106" s="120"/>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row>
    <row r="107" spans="1:79" x14ac:dyDescent="0.3">
      <c r="A107" s="7" t="str">
        <f t="shared" si="6"/>
        <v/>
      </c>
      <c r="B107" s="19"/>
      <c r="C107" s="74"/>
      <c r="D107" s="120"/>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row>
    <row r="108" spans="1:79" x14ac:dyDescent="0.3">
      <c r="A108" s="7" t="str">
        <f t="shared" si="6"/>
        <v/>
      </c>
      <c r="B108" s="19"/>
      <c r="C108" s="74"/>
      <c r="D108" s="120"/>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row>
    <row r="109" spans="1:79" x14ac:dyDescent="0.3">
      <c r="A109" s="7" t="str">
        <f t="shared" si="6"/>
        <v/>
      </c>
      <c r="B109" s="19"/>
      <c r="C109" s="74"/>
      <c r="D109" s="120"/>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row>
    <row r="110" spans="1:79" x14ac:dyDescent="0.3">
      <c r="A110" s="7" t="str">
        <f t="shared" si="6"/>
        <v/>
      </c>
      <c r="B110" s="19"/>
      <c r="C110" s="74"/>
      <c r="D110" s="12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row>
    <row r="111" spans="1:79" x14ac:dyDescent="0.3">
      <c r="A111" s="7" t="str">
        <f t="shared" si="6"/>
        <v/>
      </c>
      <c r="B111" s="19"/>
      <c r="C111" s="74"/>
      <c r="D111" s="120"/>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row>
    <row r="112" spans="1:79" x14ac:dyDescent="0.3">
      <c r="A112" s="7" t="str">
        <f t="shared" si="6"/>
        <v/>
      </c>
      <c r="B112" s="19"/>
      <c r="C112" s="74"/>
      <c r="D112" s="120"/>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row>
    <row r="113" spans="1:79" x14ac:dyDescent="0.3">
      <c r="A113" s="7" t="str">
        <f t="shared" si="6"/>
        <v/>
      </c>
      <c r="B113" s="19"/>
      <c r="C113" s="74"/>
      <c r="D113" s="120"/>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row>
    <row r="114" spans="1:79" x14ac:dyDescent="0.3">
      <c r="A114" s="7" t="str">
        <f t="shared" si="6"/>
        <v/>
      </c>
      <c r="B114" s="19"/>
      <c r="C114" s="74"/>
      <c r="D114" s="120"/>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row>
    <row r="115" spans="1:79" x14ac:dyDescent="0.3">
      <c r="A115" s="7" t="str">
        <f t="shared" si="6"/>
        <v/>
      </c>
      <c r="B115" s="19"/>
      <c r="C115" s="74"/>
      <c r="D115" s="120"/>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row>
    <row r="116" spans="1:79" x14ac:dyDescent="0.3">
      <c r="A116" s="7" t="str">
        <f t="shared" si="6"/>
        <v/>
      </c>
      <c r="B116" s="19"/>
      <c r="C116" s="74"/>
      <c r="D116" s="120"/>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row>
    <row r="117" spans="1:79" x14ac:dyDescent="0.3">
      <c r="A117" s="7" t="str">
        <f t="shared" si="6"/>
        <v/>
      </c>
      <c r="B117" s="19"/>
      <c r="C117" s="74"/>
      <c r="D117" s="120"/>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row>
    <row r="118" spans="1:79" x14ac:dyDescent="0.3">
      <c r="A118" s="7" t="str">
        <f t="shared" si="6"/>
        <v/>
      </c>
      <c r="B118" s="19"/>
      <c r="C118" s="74"/>
      <c r="D118" s="120"/>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row>
    <row r="119" spans="1:79" x14ac:dyDescent="0.3">
      <c r="A119" s="7" t="str">
        <f t="shared" si="6"/>
        <v/>
      </c>
      <c r="B119" s="19"/>
      <c r="C119" s="74"/>
      <c r="D119" s="120"/>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row>
    <row r="120" spans="1:79" x14ac:dyDescent="0.3">
      <c r="A120" s="7" t="str">
        <f t="shared" si="6"/>
        <v/>
      </c>
      <c r="B120" s="19"/>
      <c r="C120" s="74"/>
      <c r="D120" s="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row>
    <row r="121" spans="1:79" x14ac:dyDescent="0.3">
      <c r="A121" s="7" t="str">
        <f t="shared" si="6"/>
        <v/>
      </c>
      <c r="B121" s="19"/>
      <c r="C121" s="74"/>
      <c r="D121" s="120"/>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row>
    <row r="122" spans="1:79" x14ac:dyDescent="0.3">
      <c r="A122" s="7" t="str">
        <f t="shared" si="6"/>
        <v/>
      </c>
      <c r="B122" s="19"/>
      <c r="C122" s="74"/>
      <c r="D122" s="120"/>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row>
    <row r="123" spans="1:79" x14ac:dyDescent="0.3">
      <c r="A123" s="7" t="str">
        <f t="shared" si="6"/>
        <v/>
      </c>
      <c r="B123" s="19"/>
      <c r="C123" s="74"/>
      <c r="D123" s="120"/>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row>
    <row r="124" spans="1:79" x14ac:dyDescent="0.3">
      <c r="A124" s="7" t="str">
        <f t="shared" si="6"/>
        <v/>
      </c>
      <c r="B124" s="19"/>
      <c r="C124" s="74"/>
      <c r="D124" s="120"/>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row>
    <row r="125" spans="1:79" x14ac:dyDescent="0.3">
      <c r="A125" s="7" t="str">
        <f t="shared" si="6"/>
        <v/>
      </c>
      <c r="B125" s="19"/>
      <c r="C125" s="74"/>
      <c r="D125" s="120"/>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row>
    <row r="126" spans="1:79" x14ac:dyDescent="0.3">
      <c r="A126" s="7" t="str">
        <f t="shared" si="6"/>
        <v/>
      </c>
      <c r="B126" s="19"/>
      <c r="C126" s="74"/>
      <c r="D126" s="120"/>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row>
    <row r="127" spans="1:79" x14ac:dyDescent="0.3">
      <c r="A127" s="7" t="str">
        <f t="shared" si="6"/>
        <v/>
      </c>
      <c r="B127" s="19"/>
      <c r="C127" s="74"/>
      <c r="D127" s="120"/>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row>
    <row r="128" spans="1:79" x14ac:dyDescent="0.3">
      <c r="A128" s="7" t="str">
        <f t="shared" si="6"/>
        <v/>
      </c>
      <c r="B128" s="19"/>
      <c r="C128" s="74"/>
      <c r="D128" s="120"/>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row>
    <row r="129" spans="1:79" x14ac:dyDescent="0.3">
      <c r="A129" s="7" t="str">
        <f t="shared" si="6"/>
        <v/>
      </c>
      <c r="B129" s="19"/>
      <c r="C129" s="74"/>
      <c r="D129" s="120"/>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row>
    <row r="130" spans="1:79" x14ac:dyDescent="0.3">
      <c r="A130" s="7" t="str">
        <f t="shared" si="6"/>
        <v/>
      </c>
      <c r="B130" s="19"/>
      <c r="C130" s="74"/>
      <c r="D130" s="12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row>
    <row r="131" spans="1:79" x14ac:dyDescent="0.3">
      <c r="A131" s="7" t="str">
        <f t="shared" si="6"/>
        <v/>
      </c>
      <c r="B131" s="19"/>
      <c r="C131" s="74"/>
      <c r="D131" s="120"/>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row>
    <row r="132" spans="1:79" x14ac:dyDescent="0.3">
      <c r="A132" s="7" t="str">
        <f t="shared" si="6"/>
        <v/>
      </c>
      <c r="B132" s="19"/>
      <c r="C132" s="19"/>
      <c r="D132" s="121"/>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row>
    <row r="133" spans="1:79" x14ac:dyDescent="0.3">
      <c r="A133" s="7" t="str">
        <f t="shared" si="6"/>
        <v/>
      </c>
      <c r="B133" s="19"/>
      <c r="C133" s="19"/>
      <c r="D133" s="121"/>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row>
    <row r="134" spans="1:79" x14ac:dyDescent="0.3">
      <c r="A134" s="7" t="str">
        <f t="shared" si="6"/>
        <v/>
      </c>
      <c r="B134" s="19"/>
      <c r="C134" s="19"/>
      <c r="D134" s="121"/>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row>
    <row r="135" spans="1:79" x14ac:dyDescent="0.3">
      <c r="A135" s="7" t="str">
        <f t="shared" si="6"/>
        <v/>
      </c>
      <c r="B135" s="19"/>
      <c r="C135" s="19"/>
      <c r="D135" s="121"/>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row>
    <row r="136" spans="1:79" x14ac:dyDescent="0.3">
      <c r="A136" s="7" t="str">
        <f t="shared" si="6"/>
        <v/>
      </c>
      <c r="B136" s="19"/>
      <c r="C136" s="19"/>
      <c r="D136" s="121"/>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row>
    <row r="137" spans="1:79" x14ac:dyDescent="0.3">
      <c r="A137" s="7" t="str">
        <f t="shared" si="6"/>
        <v/>
      </c>
      <c r="B137" s="19"/>
      <c r="C137" s="19"/>
      <c r="D137" s="121"/>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row>
    <row r="138" spans="1:79" x14ac:dyDescent="0.3">
      <c r="A138" s="7" t="str">
        <f t="shared" si="6"/>
        <v/>
      </c>
      <c r="B138" s="19"/>
      <c r="C138" s="19"/>
      <c r="D138" s="121"/>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row>
    <row r="139" spans="1:79" x14ac:dyDescent="0.3">
      <c r="A139" s="7" t="str">
        <f t="shared" si="6"/>
        <v/>
      </c>
      <c r="B139" s="19"/>
      <c r="C139" s="19"/>
      <c r="D139" s="121"/>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row>
    <row r="140" spans="1:79" x14ac:dyDescent="0.3">
      <c r="A140" s="7" t="str">
        <f t="shared" si="6"/>
        <v/>
      </c>
      <c r="B140" s="19"/>
      <c r="C140" s="19"/>
      <c r="D140" s="121"/>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row>
    <row r="141" spans="1:79" x14ac:dyDescent="0.3">
      <c r="A141" s="7" t="str">
        <f t="shared" si="6"/>
        <v/>
      </c>
      <c r="B141" s="19"/>
      <c r="C141" s="19"/>
      <c r="D141" s="12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row>
    <row r="142" spans="1:79" x14ac:dyDescent="0.3">
      <c r="A142" s="7" t="str">
        <f t="shared" si="6"/>
        <v/>
      </c>
      <c r="B142" s="19"/>
      <c r="C142" s="19"/>
      <c r="D142" s="121"/>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row>
    <row r="143" spans="1:79" x14ac:dyDescent="0.3">
      <c r="A143" s="7" t="str">
        <f t="shared" si="6"/>
        <v/>
      </c>
      <c r="B143" s="19"/>
      <c r="C143" s="19"/>
      <c r="D143" s="121"/>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row>
    <row r="144" spans="1:79" x14ac:dyDescent="0.3">
      <c r="A144" s="7" t="str">
        <f t="shared" si="6"/>
        <v/>
      </c>
      <c r="B144" s="19"/>
      <c r="C144" s="19"/>
      <c r="D144" s="121"/>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row>
    <row r="145" spans="1:79" x14ac:dyDescent="0.3">
      <c r="A145" s="7" t="str">
        <f t="shared" si="6"/>
        <v/>
      </c>
      <c r="B145" s="19"/>
      <c r="C145" s="19"/>
      <c r="D145" s="121"/>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row>
    <row r="146" spans="1:79" x14ac:dyDescent="0.3">
      <c r="A146" s="7" t="str">
        <f t="shared" si="6"/>
        <v/>
      </c>
      <c r="B146" s="19"/>
      <c r="C146" s="19"/>
      <c r="D146" s="121"/>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row>
    <row r="147" spans="1:79" x14ac:dyDescent="0.3">
      <c r="A147" s="7" t="str">
        <f t="shared" si="6"/>
        <v/>
      </c>
      <c r="B147" s="19"/>
      <c r="C147" s="19"/>
      <c r="D147" s="121"/>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row>
    <row r="148" spans="1:79" x14ac:dyDescent="0.3">
      <c r="A148" s="7" t="str">
        <f t="shared" si="6"/>
        <v/>
      </c>
      <c r="B148" s="19"/>
      <c r="C148" s="19"/>
      <c r="D148" s="121"/>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row>
    <row r="149" spans="1:79" x14ac:dyDescent="0.3">
      <c r="A149" s="7" t="str">
        <f t="shared" si="6"/>
        <v/>
      </c>
      <c r="B149" s="19"/>
      <c r="C149" s="19"/>
      <c r="D149" s="121"/>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row>
    <row r="150" spans="1:79" x14ac:dyDescent="0.3">
      <c r="A150" s="7" t="str">
        <f t="shared" si="6"/>
        <v/>
      </c>
      <c r="B150" s="19"/>
      <c r="C150" s="19"/>
      <c r="D150" s="121"/>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row>
    <row r="151" spans="1:79" x14ac:dyDescent="0.3">
      <c r="A151" s="7" t="str">
        <f t="shared" si="6"/>
        <v/>
      </c>
      <c r="B151" s="19"/>
      <c r="C151" s="19"/>
      <c r="D151" s="12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row>
    <row r="152" spans="1:79" x14ac:dyDescent="0.3">
      <c r="A152" s="7" t="str">
        <f t="shared" si="6"/>
        <v/>
      </c>
      <c r="B152" s="19"/>
      <c r="C152" s="19"/>
      <c r="D152" s="121"/>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row>
    <row r="153" spans="1:79" x14ac:dyDescent="0.3">
      <c r="A153" s="7" t="str">
        <f t="shared" si="6"/>
        <v/>
      </c>
      <c r="B153" s="19"/>
      <c r="C153" s="19"/>
      <c r="D153" s="121"/>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row>
    <row r="154" spans="1:79" x14ac:dyDescent="0.3">
      <c r="A154" s="7" t="str">
        <f t="shared" si="6"/>
        <v/>
      </c>
      <c r="B154" s="19"/>
      <c r="C154" s="19"/>
      <c r="D154" s="121"/>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row>
    <row r="155" spans="1:79" x14ac:dyDescent="0.3">
      <c r="A155" s="7" t="str">
        <f t="shared" si="6"/>
        <v/>
      </c>
      <c r="B155" s="19"/>
      <c r="C155" s="19"/>
      <c r="D155" s="121"/>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row>
    <row r="156" spans="1:79" x14ac:dyDescent="0.3">
      <c r="A156" s="7" t="str">
        <f t="shared" si="6"/>
        <v/>
      </c>
      <c r="B156" s="19"/>
      <c r="C156" s="19"/>
      <c r="D156" s="121"/>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row>
    <row r="157" spans="1:79" x14ac:dyDescent="0.3">
      <c r="A157" s="7" t="str">
        <f t="shared" si="6"/>
        <v/>
      </c>
      <c r="B157" s="19"/>
      <c r="C157" s="19"/>
      <c r="D157" s="121"/>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row>
    <row r="158" spans="1:79" x14ac:dyDescent="0.3">
      <c r="A158" s="7" t="str">
        <f t="shared" si="6"/>
        <v/>
      </c>
      <c r="B158" s="19"/>
      <c r="C158" s="19"/>
      <c r="D158" s="121"/>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row>
    <row r="159" spans="1:79" x14ac:dyDescent="0.3">
      <c r="A159" s="7" t="str">
        <f t="shared" si="6"/>
        <v/>
      </c>
      <c r="B159" s="19"/>
      <c r="C159" s="19"/>
      <c r="D159" s="121"/>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row>
    <row r="160" spans="1:79" x14ac:dyDescent="0.3">
      <c r="A160" s="7" t="str">
        <f t="shared" si="6"/>
        <v/>
      </c>
      <c r="B160" s="19"/>
      <c r="C160" s="19"/>
      <c r="D160" s="121"/>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row>
    <row r="161" spans="1:79" x14ac:dyDescent="0.3">
      <c r="A161" s="7" t="str">
        <f t="shared" si="6"/>
        <v/>
      </c>
      <c r="B161" s="19"/>
      <c r="C161" s="19"/>
      <c r="D161" s="12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row>
    <row r="162" spans="1:79" x14ac:dyDescent="0.3">
      <c r="A162" s="7" t="str">
        <f t="shared" si="6"/>
        <v/>
      </c>
      <c r="B162" s="19"/>
      <c r="C162" s="19"/>
      <c r="D162" s="121"/>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row>
    <row r="163" spans="1:79" x14ac:dyDescent="0.3">
      <c r="A163" s="7" t="str">
        <f t="shared" si="6"/>
        <v/>
      </c>
      <c r="B163" s="19"/>
      <c r="C163" s="19"/>
      <c r="D163" s="121"/>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row>
    <row r="164" spans="1:79" x14ac:dyDescent="0.3">
      <c r="A164" s="7" t="str">
        <f t="shared" si="6"/>
        <v/>
      </c>
      <c r="B164" s="19"/>
      <c r="C164" s="19"/>
      <c r="D164" s="121"/>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row>
    <row r="165" spans="1:79" x14ac:dyDescent="0.3">
      <c r="A165" s="7" t="str">
        <f t="shared" ref="A165" si="7">IF(ISBLANK(B165),"","RQ"&amp;TEXT(ROW()-3,"000"))</f>
        <v/>
      </c>
      <c r="B165" s="19"/>
      <c r="C165" s="19"/>
      <c r="D165" s="121"/>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row>
    <row r="166" spans="1:79" x14ac:dyDescent="0.3">
      <c r="B166" s="19"/>
      <c r="C166" s="19"/>
      <c r="D166" s="121"/>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row>
    <row r="167" spans="1:79" x14ac:dyDescent="0.3">
      <c r="B167" s="19"/>
      <c r="C167" s="19"/>
      <c r="D167" s="121"/>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row>
    <row r="168" spans="1:79" x14ac:dyDescent="0.3">
      <c r="B168" s="19"/>
      <c r="C168" s="19"/>
      <c r="D168" s="121"/>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row>
    <row r="169" spans="1:79" x14ac:dyDescent="0.3">
      <c r="B169" s="19"/>
      <c r="C169" s="19"/>
      <c r="D169" s="121"/>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row>
    <row r="170" spans="1:79" x14ac:dyDescent="0.3">
      <c r="B170" s="19"/>
      <c r="C170" s="19"/>
      <c r="D170" s="121"/>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row>
    <row r="171" spans="1:79" x14ac:dyDescent="0.3">
      <c r="B171" s="19"/>
      <c r="C171" s="19"/>
      <c r="D171" s="12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row>
    <row r="172" spans="1:79" x14ac:dyDescent="0.3">
      <c r="B172" s="19"/>
      <c r="C172" s="19"/>
      <c r="D172" s="121"/>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row>
    <row r="173" spans="1:79" x14ac:dyDescent="0.3">
      <c r="B173" s="19"/>
      <c r="C173" s="19"/>
      <c r="D173" s="121"/>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row>
    <row r="174" spans="1:79" x14ac:dyDescent="0.3">
      <c r="B174" s="19"/>
      <c r="C174" s="19"/>
      <c r="D174" s="121"/>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row>
    <row r="175" spans="1:79" x14ac:dyDescent="0.3">
      <c r="B175" s="19"/>
      <c r="C175" s="19"/>
      <c r="D175" s="121"/>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row>
    <row r="176" spans="1:79" x14ac:dyDescent="0.3">
      <c r="B176" s="19"/>
      <c r="C176" s="19"/>
      <c r="D176" s="121"/>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row>
    <row r="177" spans="2:79" x14ac:dyDescent="0.3">
      <c r="B177" s="19"/>
      <c r="C177" s="19"/>
      <c r="D177" s="121"/>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row>
    <row r="178" spans="2:79" x14ac:dyDescent="0.3">
      <c r="B178" s="19"/>
      <c r="C178" s="19"/>
      <c r="D178" s="121"/>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row>
    <row r="179" spans="2:79" x14ac:dyDescent="0.3">
      <c r="B179" s="19"/>
      <c r="C179" s="19"/>
      <c r="D179" s="121"/>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row>
    <row r="180" spans="2:79" x14ac:dyDescent="0.3">
      <c r="B180" s="19"/>
      <c r="C180" s="19"/>
      <c r="D180" s="121"/>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row>
    <row r="181" spans="2:79" x14ac:dyDescent="0.3">
      <c r="B181" s="19"/>
      <c r="C181" s="19"/>
      <c r="D181" s="12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row>
    <row r="182" spans="2:79" x14ac:dyDescent="0.3">
      <c r="B182" s="19"/>
      <c r="C182" s="19"/>
      <c r="D182" s="121"/>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row>
    <row r="183" spans="2:79" x14ac:dyDescent="0.3">
      <c r="B183" s="19"/>
      <c r="C183" s="19"/>
      <c r="D183" s="121"/>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row>
    <row r="184" spans="2:79" x14ac:dyDescent="0.3">
      <c r="B184" s="19"/>
      <c r="C184" s="19"/>
      <c r="D184" s="121"/>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row>
    <row r="185" spans="2:79" x14ac:dyDescent="0.3">
      <c r="B185" s="19"/>
      <c r="C185" s="19"/>
      <c r="D185" s="121"/>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row>
    <row r="186" spans="2:79" x14ac:dyDescent="0.3">
      <c r="B186" s="19"/>
      <c r="C186" s="19"/>
      <c r="D186" s="121"/>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row>
    <row r="187" spans="2:79" x14ac:dyDescent="0.3">
      <c r="B187" s="19"/>
      <c r="C187" s="19"/>
      <c r="D187" s="121"/>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row>
    <row r="188" spans="2:79" x14ac:dyDescent="0.3">
      <c r="B188" s="19"/>
      <c r="C188" s="19"/>
      <c r="D188" s="121"/>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row>
    <row r="189" spans="2:79" x14ac:dyDescent="0.3">
      <c r="B189" s="19"/>
      <c r="C189" s="19"/>
      <c r="D189" s="121"/>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row>
    <row r="190" spans="2:79" x14ac:dyDescent="0.3">
      <c r="B190" s="19"/>
      <c r="C190" s="19"/>
      <c r="D190" s="121"/>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row>
    <row r="191" spans="2:79" x14ac:dyDescent="0.3">
      <c r="B191" s="19"/>
      <c r="C191" s="19"/>
      <c r="D191" s="12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row>
    <row r="192" spans="2:79" x14ac:dyDescent="0.3">
      <c r="B192" s="19"/>
      <c r="C192" s="19"/>
      <c r="D192" s="121"/>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row>
    <row r="193" spans="2:79" x14ac:dyDescent="0.3">
      <c r="B193" s="19"/>
      <c r="C193" s="19"/>
      <c r="D193" s="121"/>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row>
    <row r="194" spans="2:79" x14ac:dyDescent="0.3">
      <c r="B194" s="19"/>
      <c r="C194" s="19"/>
      <c r="D194" s="121"/>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row>
    <row r="195" spans="2:79" x14ac:dyDescent="0.3">
      <c r="B195" s="19"/>
      <c r="C195" s="19"/>
      <c r="D195" s="121"/>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row>
    <row r="196" spans="2:79" x14ac:dyDescent="0.3">
      <c r="B196" s="19"/>
      <c r="C196" s="19"/>
      <c r="D196" s="121"/>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row>
    <row r="197" spans="2:79" x14ac:dyDescent="0.3">
      <c r="B197" s="19"/>
      <c r="C197" s="19"/>
      <c r="D197" s="121"/>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row>
    <row r="198" spans="2:79" x14ac:dyDescent="0.3">
      <c r="B198" s="19"/>
      <c r="C198" s="19"/>
      <c r="D198" s="121"/>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row>
    <row r="199" spans="2:79" x14ac:dyDescent="0.3">
      <c r="B199" s="19"/>
      <c r="C199" s="19"/>
      <c r="D199" s="121"/>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row>
    <row r="200" spans="2:79" x14ac:dyDescent="0.3">
      <c r="B200" s="19"/>
      <c r="C200" s="19"/>
      <c r="D200" s="121"/>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row>
    <row r="201" spans="2:79" x14ac:dyDescent="0.3">
      <c r="B201" s="19"/>
      <c r="C201" s="19"/>
      <c r="D201" s="12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row>
    <row r="202" spans="2:79" x14ac:dyDescent="0.3">
      <c r="B202" s="19"/>
      <c r="C202" s="19"/>
      <c r="D202" s="121"/>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row>
    <row r="203" spans="2:79" x14ac:dyDescent="0.3">
      <c r="B203" s="19"/>
      <c r="C203" s="19"/>
      <c r="D203" s="121"/>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row>
    <row r="204" spans="2:79" x14ac:dyDescent="0.3">
      <c r="B204" s="19"/>
      <c r="C204" s="19"/>
      <c r="D204" s="121"/>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row>
    <row r="205" spans="2:79" x14ac:dyDescent="0.3">
      <c r="B205" s="19"/>
      <c r="C205" s="19"/>
      <c r="D205" s="121"/>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row>
    <row r="206" spans="2:79" x14ac:dyDescent="0.3">
      <c r="B206" s="19"/>
      <c r="C206" s="19"/>
      <c r="D206" s="121"/>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row>
    <row r="207" spans="2:79" x14ac:dyDescent="0.3">
      <c r="B207" s="19"/>
      <c r="C207" s="19"/>
      <c r="D207" s="121"/>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row>
    <row r="208" spans="2:79" x14ac:dyDescent="0.3">
      <c r="B208" s="19"/>
      <c r="C208" s="19"/>
      <c r="D208" s="121"/>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row>
    <row r="209" spans="2:79" x14ac:dyDescent="0.3">
      <c r="B209" s="19"/>
      <c r="C209" s="19"/>
      <c r="D209" s="121"/>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row>
    <row r="210" spans="2:79" x14ac:dyDescent="0.3">
      <c r="B210" s="19"/>
      <c r="C210" s="19"/>
      <c r="D210" s="121"/>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row>
    <row r="211" spans="2:79" x14ac:dyDescent="0.3">
      <c r="B211" s="19"/>
      <c r="C211" s="19"/>
      <c r="D211" s="12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row>
    <row r="212" spans="2:79" x14ac:dyDescent="0.3">
      <c r="B212" s="19"/>
      <c r="C212" s="19"/>
      <c r="D212" s="121"/>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row>
    <row r="213" spans="2:79" x14ac:dyDescent="0.3">
      <c r="B213" s="19"/>
      <c r="C213" s="19"/>
      <c r="D213" s="121"/>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row>
    <row r="214" spans="2:79" x14ac:dyDescent="0.3">
      <c r="B214" s="19"/>
      <c r="C214" s="19"/>
      <c r="D214" s="121"/>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row>
    <row r="215" spans="2:79" x14ac:dyDescent="0.3">
      <c r="B215" s="19"/>
      <c r="C215" s="19"/>
      <c r="D215" s="121"/>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row>
    <row r="216" spans="2:79" x14ac:dyDescent="0.3">
      <c r="B216" s="19"/>
      <c r="C216" s="19"/>
      <c r="D216" s="121"/>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row>
    <row r="217" spans="2:79" x14ac:dyDescent="0.3">
      <c r="B217" s="19"/>
      <c r="C217" s="19"/>
      <c r="D217" s="121"/>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row>
    <row r="218" spans="2:79" x14ac:dyDescent="0.3">
      <c r="B218" s="19"/>
      <c r="C218" s="19"/>
      <c r="D218" s="121"/>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row>
    <row r="219" spans="2:79" x14ac:dyDescent="0.3">
      <c r="B219" s="19"/>
      <c r="C219" s="19"/>
      <c r="D219" s="121"/>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row>
    <row r="220" spans="2:79" x14ac:dyDescent="0.3">
      <c r="B220" s="19"/>
      <c r="C220" s="19"/>
      <c r="D220" s="121"/>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row>
    <row r="221" spans="2:79" x14ac:dyDescent="0.3">
      <c r="B221" s="19"/>
      <c r="C221" s="19"/>
      <c r="D221" s="1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row>
    <row r="222" spans="2:79" x14ac:dyDescent="0.3">
      <c r="B222" s="19"/>
      <c r="C222" s="19"/>
      <c r="D222" s="121"/>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row>
    <row r="223" spans="2:79" x14ac:dyDescent="0.3">
      <c r="B223" s="19"/>
      <c r="C223" s="19"/>
      <c r="D223" s="121"/>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row>
    <row r="224" spans="2:79" x14ac:dyDescent="0.3">
      <c r="B224" s="19"/>
      <c r="C224" s="19"/>
      <c r="D224" s="121"/>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row>
    <row r="225" spans="2:79" x14ac:dyDescent="0.3">
      <c r="B225" s="19"/>
      <c r="C225" s="19"/>
      <c r="D225" s="121"/>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row>
    <row r="226" spans="2:79" x14ac:dyDescent="0.3">
      <c r="B226" s="19"/>
      <c r="C226" s="19"/>
      <c r="D226" s="121"/>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row>
    <row r="227" spans="2:79" x14ac:dyDescent="0.3">
      <c r="B227" s="19"/>
      <c r="C227" s="19"/>
      <c r="D227" s="121"/>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row>
    <row r="228" spans="2:79" x14ac:dyDescent="0.3">
      <c r="B228" s="19"/>
      <c r="C228" s="19"/>
      <c r="D228" s="121"/>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row>
    <row r="229" spans="2:79" x14ac:dyDescent="0.3">
      <c r="B229" s="19"/>
      <c r="C229" s="19"/>
      <c r="D229" s="121"/>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row>
    <row r="230" spans="2:79" x14ac:dyDescent="0.3">
      <c r="B230" s="19"/>
      <c r="C230" s="19"/>
      <c r="D230" s="121"/>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row>
    <row r="231" spans="2:79" x14ac:dyDescent="0.3">
      <c r="B231" s="19"/>
      <c r="C231" s="19"/>
      <c r="D231" s="12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row>
    <row r="232" spans="2:79" x14ac:dyDescent="0.3">
      <c r="B232" s="19"/>
      <c r="C232" s="19"/>
      <c r="D232" s="121"/>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row>
    <row r="233" spans="2:79" x14ac:dyDescent="0.3">
      <c r="B233" s="19"/>
      <c r="C233" s="19"/>
      <c r="D233" s="121"/>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row>
    <row r="234" spans="2:79" x14ac:dyDescent="0.3">
      <c r="B234" s="19"/>
      <c r="C234" s="19"/>
      <c r="D234" s="121"/>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row>
    <row r="235" spans="2:79" x14ac:dyDescent="0.3">
      <c r="B235" s="19"/>
      <c r="C235" s="19"/>
      <c r="D235" s="121"/>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row>
    <row r="236" spans="2:79" x14ac:dyDescent="0.3">
      <c r="B236" s="19"/>
      <c r="C236" s="19"/>
      <c r="D236" s="121"/>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row>
    <row r="237" spans="2:79" x14ac:dyDescent="0.3">
      <c r="B237" s="19"/>
      <c r="C237" s="19"/>
      <c r="D237" s="121"/>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row>
    <row r="238" spans="2:79" x14ac:dyDescent="0.3">
      <c r="B238" s="19"/>
      <c r="C238" s="19"/>
      <c r="D238" s="121"/>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row>
    <row r="239" spans="2:79" x14ac:dyDescent="0.3">
      <c r="B239" s="19"/>
      <c r="C239" s="19"/>
      <c r="D239" s="121"/>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row>
    <row r="240" spans="2:79" x14ac:dyDescent="0.3">
      <c r="B240" s="19"/>
      <c r="C240" s="19"/>
      <c r="D240" s="121"/>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row>
    <row r="241" spans="2:79" x14ac:dyDescent="0.3">
      <c r="B241" s="19"/>
      <c r="C241" s="19"/>
      <c r="D241" s="12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row>
    <row r="242" spans="2:79" x14ac:dyDescent="0.3">
      <c r="B242" s="19"/>
      <c r="C242" s="19"/>
      <c r="D242" s="121"/>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row>
    <row r="243" spans="2:79" x14ac:dyDescent="0.3">
      <c r="B243" s="19"/>
      <c r="C243" s="19"/>
      <c r="D243" s="121"/>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row>
    <row r="244" spans="2:79" x14ac:dyDescent="0.3">
      <c r="B244" s="19"/>
      <c r="C244" s="19"/>
      <c r="D244" s="121"/>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row>
    <row r="245" spans="2:79" x14ac:dyDescent="0.3">
      <c r="B245" s="19"/>
      <c r="C245" s="19"/>
      <c r="D245" s="121"/>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row>
    <row r="246" spans="2:79" x14ac:dyDescent="0.3">
      <c r="B246" s="19"/>
      <c r="C246" s="19"/>
      <c r="D246" s="121"/>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row>
    <row r="247" spans="2:79" x14ac:dyDescent="0.3">
      <c r="B247" s="19"/>
      <c r="C247" s="19"/>
      <c r="D247" s="121"/>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row>
    <row r="248" spans="2:79" x14ac:dyDescent="0.3">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row>
    <row r="249" spans="2:79" x14ac:dyDescent="0.3">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row>
    <row r="250" spans="2:79" x14ac:dyDescent="0.3">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row>
    <row r="251" spans="2:79" x14ac:dyDescent="0.3">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row>
    <row r="252" spans="2:79" x14ac:dyDescent="0.3">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row>
    <row r="253" spans="2:79" x14ac:dyDescent="0.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row>
    <row r="254" spans="2:79" x14ac:dyDescent="0.3">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row>
    <row r="255" spans="2:79" x14ac:dyDescent="0.3">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row>
    <row r="256" spans="2:79" x14ac:dyDescent="0.3">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row>
    <row r="257" spans="5:79" x14ac:dyDescent="0.3">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row>
    <row r="258" spans="5:79" x14ac:dyDescent="0.3">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row>
    <row r="259" spans="5:79" x14ac:dyDescent="0.3">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row>
    <row r="260" spans="5:79" x14ac:dyDescent="0.3">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row>
    <row r="261" spans="5:79" x14ac:dyDescent="0.3">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row>
    <row r="262" spans="5:79" x14ac:dyDescent="0.3">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row>
    <row r="263" spans="5:79" x14ac:dyDescent="0.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row>
    <row r="264" spans="5:79" x14ac:dyDescent="0.3">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row>
    <row r="265" spans="5:79" x14ac:dyDescent="0.3">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row>
    <row r="266" spans="5:79" x14ac:dyDescent="0.3">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row>
    <row r="267" spans="5:79" x14ac:dyDescent="0.3">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row>
    <row r="268" spans="5:79" x14ac:dyDescent="0.3">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row>
    <row r="269" spans="5:79" x14ac:dyDescent="0.3">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row>
    <row r="270" spans="5:79" x14ac:dyDescent="0.3">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row>
    <row r="271" spans="5:79" x14ac:dyDescent="0.3">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row>
    <row r="272" spans="5:79" x14ac:dyDescent="0.3">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row>
    <row r="273" spans="5:79" x14ac:dyDescent="0.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row>
    <row r="274" spans="5:79" x14ac:dyDescent="0.3">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row>
    <row r="275" spans="5:79" x14ac:dyDescent="0.3">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row>
    <row r="276" spans="5:79" x14ac:dyDescent="0.3">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row>
    <row r="277" spans="5:79" x14ac:dyDescent="0.3">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row>
    <row r="278" spans="5:79" x14ac:dyDescent="0.3">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row>
    <row r="279" spans="5:79" x14ac:dyDescent="0.3">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row>
    <row r="280" spans="5:79" x14ac:dyDescent="0.3">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row>
    <row r="281" spans="5:79" x14ac:dyDescent="0.3">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row>
    <row r="282" spans="5:79" x14ac:dyDescent="0.3">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row>
    <row r="283" spans="5:79" x14ac:dyDescent="0.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row>
    <row r="284" spans="5:79" x14ac:dyDescent="0.3">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row>
    <row r="285" spans="5:79" x14ac:dyDescent="0.3">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row>
    <row r="286" spans="5:79" x14ac:dyDescent="0.3">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row>
    <row r="287" spans="5:79" x14ac:dyDescent="0.3">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row>
    <row r="288" spans="5:79" x14ac:dyDescent="0.3">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row>
    <row r="289" spans="5:79" x14ac:dyDescent="0.3">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row>
    <row r="290" spans="5:79" x14ac:dyDescent="0.3">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row>
    <row r="291" spans="5:79" x14ac:dyDescent="0.3">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row>
    <row r="292" spans="5:79" x14ac:dyDescent="0.3">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row>
    <row r="293" spans="5:79" x14ac:dyDescent="0.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row>
    <row r="294" spans="5:79" x14ac:dyDescent="0.3">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row>
    <row r="295" spans="5:79" x14ac:dyDescent="0.3">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row>
    <row r="296" spans="5:79" x14ac:dyDescent="0.3">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row>
    <row r="297" spans="5:79" x14ac:dyDescent="0.3">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row>
    <row r="298" spans="5:79" x14ac:dyDescent="0.3">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row>
    <row r="299" spans="5:79" x14ac:dyDescent="0.3">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row>
    <row r="300" spans="5:79" x14ac:dyDescent="0.3">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row>
    <row r="301" spans="5:79" x14ac:dyDescent="0.3">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row>
    <row r="302" spans="5:79" x14ac:dyDescent="0.3">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row>
    <row r="303" spans="5:79" x14ac:dyDescent="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row>
    <row r="304" spans="5:79" x14ac:dyDescent="0.3">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row>
    <row r="305" spans="5:79" x14ac:dyDescent="0.3">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row>
    <row r="306" spans="5:79" x14ac:dyDescent="0.3">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row>
    <row r="307" spans="5:79" x14ac:dyDescent="0.3">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row>
    <row r="308" spans="5:79" x14ac:dyDescent="0.3">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row>
    <row r="309" spans="5:79" x14ac:dyDescent="0.3">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row>
    <row r="310" spans="5:79" x14ac:dyDescent="0.3">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row>
    <row r="311" spans="5:79" x14ac:dyDescent="0.3">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row>
    <row r="312" spans="5:79" x14ac:dyDescent="0.3">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row>
    <row r="313" spans="5:79" x14ac:dyDescent="0.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row>
    <row r="314" spans="5:79" x14ac:dyDescent="0.3">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row>
    <row r="315" spans="5:79" x14ac:dyDescent="0.3">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row>
    <row r="316" spans="5:79" x14ac:dyDescent="0.3">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row>
    <row r="317" spans="5:79" x14ac:dyDescent="0.3">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row>
    <row r="318" spans="5:79" x14ac:dyDescent="0.3">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row>
    <row r="319" spans="5:79" x14ac:dyDescent="0.3">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row>
    <row r="320" spans="5:79" x14ac:dyDescent="0.3">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row>
    <row r="321" spans="5:79" x14ac:dyDescent="0.3">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row>
    <row r="322" spans="5:79" x14ac:dyDescent="0.3">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row>
    <row r="323" spans="5:79" x14ac:dyDescent="0.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row>
    <row r="324" spans="5:79" x14ac:dyDescent="0.3">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row>
    <row r="325" spans="5:79" x14ac:dyDescent="0.3">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row>
    <row r="326" spans="5:79" x14ac:dyDescent="0.3">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row>
    <row r="327" spans="5:79" x14ac:dyDescent="0.3">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row>
    <row r="328" spans="5:79" x14ac:dyDescent="0.3">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row>
    <row r="329" spans="5:79" x14ac:dyDescent="0.3">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row>
    <row r="330" spans="5:79" x14ac:dyDescent="0.3">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row>
    <row r="331" spans="5:79" x14ac:dyDescent="0.3">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row>
    <row r="332" spans="5:79" x14ac:dyDescent="0.3">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row>
    <row r="333" spans="5:79" x14ac:dyDescent="0.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row>
    <row r="334" spans="5:79" x14ac:dyDescent="0.3">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row>
    <row r="335" spans="5:79" x14ac:dyDescent="0.3">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row>
    <row r="336" spans="5:79" x14ac:dyDescent="0.3">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row>
    <row r="337" spans="5:79" x14ac:dyDescent="0.3">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row>
    <row r="338" spans="5:79" x14ac:dyDescent="0.3">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row>
    <row r="339" spans="5:79" x14ac:dyDescent="0.3">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row>
    <row r="340" spans="5:79" x14ac:dyDescent="0.3">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row>
    <row r="341" spans="5:79" x14ac:dyDescent="0.3">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row>
    <row r="342" spans="5:79" x14ac:dyDescent="0.3">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row>
    <row r="343" spans="5:79" x14ac:dyDescent="0.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row>
    <row r="344" spans="5:79" x14ac:dyDescent="0.3">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row>
    <row r="345" spans="5:79" x14ac:dyDescent="0.3">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row>
    <row r="346" spans="5:79" x14ac:dyDescent="0.3">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row>
    <row r="347" spans="5:79" x14ac:dyDescent="0.3">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row>
    <row r="348" spans="5:79" x14ac:dyDescent="0.3">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row>
    <row r="349" spans="5:79" x14ac:dyDescent="0.3">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row>
    <row r="350" spans="5:79" x14ac:dyDescent="0.3">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row>
    <row r="351" spans="5:79" x14ac:dyDescent="0.3">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row>
    <row r="352" spans="5:79" x14ac:dyDescent="0.3">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row>
    <row r="353" spans="5:79" x14ac:dyDescent="0.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row>
    <row r="354" spans="5:79" x14ac:dyDescent="0.3">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row>
    <row r="355" spans="5:79" x14ac:dyDescent="0.3">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row>
    <row r="356" spans="5:79" x14ac:dyDescent="0.3">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row>
    <row r="357" spans="5:79" x14ac:dyDescent="0.3">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row>
    <row r="358" spans="5:79" x14ac:dyDescent="0.3">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row>
    <row r="359" spans="5:79" x14ac:dyDescent="0.3">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row>
    <row r="360" spans="5:79" x14ac:dyDescent="0.3">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row>
    <row r="361" spans="5:79" x14ac:dyDescent="0.3">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row>
    <row r="362" spans="5:79" x14ac:dyDescent="0.3">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row>
    <row r="363" spans="5:79" x14ac:dyDescent="0.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row>
    <row r="364" spans="5:79" x14ac:dyDescent="0.3">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row>
    <row r="365" spans="5:79" x14ac:dyDescent="0.3">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row>
    <row r="366" spans="5:79" x14ac:dyDescent="0.3">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row>
    <row r="367" spans="5:79" x14ac:dyDescent="0.3">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row>
    <row r="368" spans="5:79" x14ac:dyDescent="0.3">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row>
    <row r="369" spans="5:79" x14ac:dyDescent="0.3">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row>
    <row r="370" spans="5:79" x14ac:dyDescent="0.3">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row>
    <row r="371" spans="5:79" x14ac:dyDescent="0.3">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row>
    <row r="372" spans="5:79" x14ac:dyDescent="0.3">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row>
    <row r="373" spans="5:79" x14ac:dyDescent="0.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row>
    <row r="374" spans="5:79" x14ac:dyDescent="0.3">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row>
    <row r="375" spans="5:79" x14ac:dyDescent="0.3">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row>
    <row r="376" spans="5:79" x14ac:dyDescent="0.3">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row>
    <row r="377" spans="5:79" x14ac:dyDescent="0.3">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row>
    <row r="378" spans="5:79" x14ac:dyDescent="0.3">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row>
    <row r="379" spans="5:79" x14ac:dyDescent="0.3">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row>
    <row r="380" spans="5:79" x14ac:dyDescent="0.3">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row>
    <row r="381" spans="5:79" x14ac:dyDescent="0.3">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row>
    <row r="382" spans="5:79" x14ac:dyDescent="0.3">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row>
    <row r="383" spans="5:79" x14ac:dyDescent="0.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row>
    <row r="384" spans="5:79" x14ac:dyDescent="0.3">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row>
    <row r="385" spans="5:79" x14ac:dyDescent="0.3">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row>
    <row r="386" spans="5:79" x14ac:dyDescent="0.3">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row>
    <row r="387" spans="5:79" x14ac:dyDescent="0.3">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row>
    <row r="388" spans="5:79" x14ac:dyDescent="0.3">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row>
    <row r="389" spans="5:79" x14ac:dyDescent="0.3">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row>
    <row r="390" spans="5:79" x14ac:dyDescent="0.3">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row>
    <row r="391" spans="5:79" x14ac:dyDescent="0.3">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row>
    <row r="392" spans="5:79" x14ac:dyDescent="0.3">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row>
    <row r="393" spans="5:79" x14ac:dyDescent="0.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row>
    <row r="394" spans="5:79" x14ac:dyDescent="0.3">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row>
    <row r="395" spans="5:79" x14ac:dyDescent="0.3">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row>
    <row r="396" spans="5:79" x14ac:dyDescent="0.3">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row>
    <row r="397" spans="5:79" x14ac:dyDescent="0.3">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row>
    <row r="398" spans="5:79" x14ac:dyDescent="0.3">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row>
    <row r="399" spans="5:79" x14ac:dyDescent="0.3">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row>
    <row r="400" spans="5:79" x14ac:dyDescent="0.3">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row>
    <row r="401" spans="5:79" x14ac:dyDescent="0.3">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row>
    <row r="402" spans="5:79" x14ac:dyDescent="0.3">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row>
    <row r="403" spans="5:79" x14ac:dyDescent="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row>
    <row r="404" spans="5:79" x14ac:dyDescent="0.3">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row>
    <row r="405" spans="5:79" x14ac:dyDescent="0.3">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row>
    <row r="406" spans="5:79" x14ac:dyDescent="0.3">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row>
    <row r="407" spans="5:79" x14ac:dyDescent="0.3">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row>
    <row r="408" spans="5:79" x14ac:dyDescent="0.3">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row>
    <row r="409" spans="5:79" x14ac:dyDescent="0.3">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row>
    <row r="410" spans="5:79" x14ac:dyDescent="0.3">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row>
    <row r="411" spans="5:79" x14ac:dyDescent="0.3">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row>
    <row r="412" spans="5:79" x14ac:dyDescent="0.3">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row>
    <row r="413" spans="5:79" x14ac:dyDescent="0.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row>
    <row r="414" spans="5:79" x14ac:dyDescent="0.3">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row>
    <row r="415" spans="5:79" x14ac:dyDescent="0.3">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row>
    <row r="416" spans="5:79" x14ac:dyDescent="0.3">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row>
    <row r="417" spans="5:79" x14ac:dyDescent="0.3">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row>
    <row r="418" spans="5:79" x14ac:dyDescent="0.3">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row>
    <row r="419" spans="5:79" x14ac:dyDescent="0.3">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row>
    <row r="420" spans="5:79" x14ac:dyDescent="0.3">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row>
    <row r="421" spans="5:79" x14ac:dyDescent="0.3">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row>
    <row r="422" spans="5:79" x14ac:dyDescent="0.3">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row>
    <row r="423" spans="5:79" x14ac:dyDescent="0.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row>
    <row r="424" spans="5:79" x14ac:dyDescent="0.3">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row>
    <row r="425" spans="5:79" x14ac:dyDescent="0.3">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row>
    <row r="426" spans="5:79" x14ac:dyDescent="0.3">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row>
    <row r="427" spans="5:79" x14ac:dyDescent="0.3">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row>
    <row r="428" spans="5:79" x14ac:dyDescent="0.3">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row>
    <row r="429" spans="5:79" x14ac:dyDescent="0.3">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row>
    <row r="430" spans="5:79" x14ac:dyDescent="0.3">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row>
    <row r="431" spans="5:79" x14ac:dyDescent="0.3">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row>
    <row r="432" spans="5:79" x14ac:dyDescent="0.3">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row>
    <row r="433" spans="5:79" x14ac:dyDescent="0.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row>
    <row r="434" spans="5:79" x14ac:dyDescent="0.3">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row>
    <row r="435" spans="5:79" x14ac:dyDescent="0.3">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row>
    <row r="436" spans="5:79" x14ac:dyDescent="0.3">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row>
    <row r="437" spans="5:79" x14ac:dyDescent="0.3">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row>
    <row r="438" spans="5:79" x14ac:dyDescent="0.3">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row>
    <row r="439" spans="5:79" x14ac:dyDescent="0.3">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row>
    <row r="440" spans="5:79" x14ac:dyDescent="0.3">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row>
    <row r="441" spans="5:79" x14ac:dyDescent="0.3">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row>
    <row r="442" spans="5:79" x14ac:dyDescent="0.3">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row>
    <row r="443" spans="5:79" x14ac:dyDescent="0.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row>
    <row r="444" spans="5:79" x14ac:dyDescent="0.3">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row>
    <row r="445" spans="5:79" x14ac:dyDescent="0.3">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row>
    <row r="446" spans="5:79" x14ac:dyDescent="0.3">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row>
    <row r="447" spans="5:79" x14ac:dyDescent="0.3">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row>
    <row r="448" spans="5:79" x14ac:dyDescent="0.3">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row>
    <row r="449" spans="5:79" x14ac:dyDescent="0.3">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row>
    <row r="450" spans="5:79" x14ac:dyDescent="0.3">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row>
    <row r="451" spans="5:79" x14ac:dyDescent="0.3">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row>
    <row r="452" spans="5:79" x14ac:dyDescent="0.3">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row>
    <row r="453" spans="5:79" x14ac:dyDescent="0.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row>
    <row r="454" spans="5:79" x14ac:dyDescent="0.3">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row>
    <row r="455" spans="5:79" x14ac:dyDescent="0.3">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row>
    <row r="456" spans="5:79" x14ac:dyDescent="0.3">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row>
    <row r="457" spans="5:79" x14ac:dyDescent="0.3">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row>
    <row r="458" spans="5:79" x14ac:dyDescent="0.3">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row>
    <row r="459" spans="5:79" x14ac:dyDescent="0.3">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row>
    <row r="460" spans="5:79" x14ac:dyDescent="0.3">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row>
    <row r="461" spans="5:79" x14ac:dyDescent="0.3">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row>
    <row r="462" spans="5:79" x14ac:dyDescent="0.3">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row>
    <row r="463" spans="5:79" x14ac:dyDescent="0.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row>
    <row r="464" spans="5:79" x14ac:dyDescent="0.3">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row>
    <row r="465" spans="5:79" x14ac:dyDescent="0.3">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row>
    <row r="466" spans="5:79" x14ac:dyDescent="0.3">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row>
    <row r="467" spans="5:79" x14ac:dyDescent="0.3">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row>
    <row r="468" spans="5:79" x14ac:dyDescent="0.3">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row>
    <row r="469" spans="5:79" x14ac:dyDescent="0.3">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row>
    <row r="470" spans="5:79" x14ac:dyDescent="0.3">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row>
    <row r="471" spans="5:79" x14ac:dyDescent="0.3">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row>
    <row r="472" spans="5:79" x14ac:dyDescent="0.3">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row>
    <row r="473" spans="5:79" x14ac:dyDescent="0.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row>
    <row r="474" spans="5:79" x14ac:dyDescent="0.3">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row>
    <row r="475" spans="5:79" x14ac:dyDescent="0.3">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row>
    <row r="476" spans="5:79" x14ac:dyDescent="0.3">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row>
    <row r="477" spans="5:79" x14ac:dyDescent="0.3">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row>
    <row r="478" spans="5:79" x14ac:dyDescent="0.3">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row>
    <row r="479" spans="5:79" x14ac:dyDescent="0.3">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row>
    <row r="480" spans="5:79" x14ac:dyDescent="0.3">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row>
    <row r="481" spans="5:79" x14ac:dyDescent="0.3">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row>
    <row r="482" spans="5:79" x14ac:dyDescent="0.3">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row>
    <row r="483" spans="5:79" x14ac:dyDescent="0.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row>
    <row r="484" spans="5:79" x14ac:dyDescent="0.3">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row>
    <row r="485" spans="5:79" x14ac:dyDescent="0.3">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row>
    <row r="486" spans="5:79" x14ac:dyDescent="0.3">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row>
    <row r="487" spans="5:79" x14ac:dyDescent="0.3">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row>
    <row r="488" spans="5:79" x14ac:dyDescent="0.3">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row>
    <row r="489" spans="5:79" x14ac:dyDescent="0.3">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row>
    <row r="490" spans="5:79" x14ac:dyDescent="0.3">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row>
    <row r="491" spans="5:79" x14ac:dyDescent="0.3">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row>
    <row r="492" spans="5:79" x14ac:dyDescent="0.3">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row>
    <row r="493" spans="5:79" x14ac:dyDescent="0.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row>
    <row r="494" spans="5:79" x14ac:dyDescent="0.3">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row>
    <row r="495" spans="5:79" x14ac:dyDescent="0.3">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row>
    <row r="496" spans="5:79" x14ac:dyDescent="0.3">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row>
    <row r="497" spans="5:79" x14ac:dyDescent="0.3">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row>
    <row r="498" spans="5:79" x14ac:dyDescent="0.3">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row>
    <row r="499" spans="5:79" x14ac:dyDescent="0.3">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row>
    <row r="500" spans="5:79" x14ac:dyDescent="0.3">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row>
    <row r="501" spans="5:79" x14ac:dyDescent="0.3">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row>
    <row r="502" spans="5:79" x14ac:dyDescent="0.3">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row>
    <row r="503" spans="5:79" x14ac:dyDescent="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row>
    <row r="504" spans="5:79" x14ac:dyDescent="0.3">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row>
    <row r="505" spans="5:79" x14ac:dyDescent="0.3">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row>
    <row r="506" spans="5:79" x14ac:dyDescent="0.3">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row>
    <row r="507" spans="5:79" x14ac:dyDescent="0.3">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row>
    <row r="508" spans="5:79" x14ac:dyDescent="0.3">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row>
    <row r="509" spans="5:79" x14ac:dyDescent="0.3">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row>
    <row r="510" spans="5:79" x14ac:dyDescent="0.3">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row>
    <row r="511" spans="5:79" x14ac:dyDescent="0.3">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row>
    <row r="512" spans="5:79" x14ac:dyDescent="0.3">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row>
    <row r="513" spans="5:79" x14ac:dyDescent="0.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row>
    <row r="514" spans="5:79" x14ac:dyDescent="0.3">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row>
    <row r="515" spans="5:79" x14ac:dyDescent="0.3">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row>
    <row r="516" spans="5:79" x14ac:dyDescent="0.3">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row>
    <row r="517" spans="5:79" x14ac:dyDescent="0.3">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row>
    <row r="518" spans="5:79" x14ac:dyDescent="0.3">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row>
    <row r="519" spans="5:79" x14ac:dyDescent="0.3">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row>
    <row r="520" spans="5:79" x14ac:dyDescent="0.3">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row>
    <row r="521" spans="5:79" x14ac:dyDescent="0.3">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row>
    <row r="522" spans="5:79" x14ac:dyDescent="0.3">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row>
    <row r="523" spans="5:79" x14ac:dyDescent="0.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row>
    <row r="524" spans="5:79" x14ac:dyDescent="0.3">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row>
    <row r="525" spans="5:79" x14ac:dyDescent="0.3">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row>
    <row r="526" spans="5:79" x14ac:dyDescent="0.3">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row>
    <row r="527" spans="5:79" x14ac:dyDescent="0.3">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row>
    <row r="528" spans="5:79" x14ac:dyDescent="0.3">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row>
    <row r="529" spans="5:79" x14ac:dyDescent="0.3">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row>
    <row r="530" spans="5:79" x14ac:dyDescent="0.3">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row>
    <row r="531" spans="5:79" x14ac:dyDescent="0.3">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row>
    <row r="532" spans="5:79" x14ac:dyDescent="0.3">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row>
    <row r="533" spans="5:79" x14ac:dyDescent="0.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row>
    <row r="534" spans="5:79" x14ac:dyDescent="0.3">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row>
    <row r="535" spans="5:79" x14ac:dyDescent="0.3">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row>
    <row r="536" spans="5:79" x14ac:dyDescent="0.3">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row>
    <row r="537" spans="5:79" x14ac:dyDescent="0.3">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row>
    <row r="538" spans="5:79" x14ac:dyDescent="0.3">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row>
    <row r="539" spans="5:79" x14ac:dyDescent="0.3">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row>
    <row r="540" spans="5:79" x14ac:dyDescent="0.3">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row>
    <row r="541" spans="5:79" x14ac:dyDescent="0.3">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row>
    <row r="542" spans="5:79" x14ac:dyDescent="0.3">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row>
    <row r="543" spans="5:79" x14ac:dyDescent="0.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row>
    <row r="544" spans="5:79" x14ac:dyDescent="0.3">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row>
    <row r="545" spans="5:79" x14ac:dyDescent="0.3">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row>
    <row r="546" spans="5:79" x14ac:dyDescent="0.3">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row>
    <row r="547" spans="5:79" x14ac:dyDescent="0.3">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row>
    <row r="548" spans="5:79" x14ac:dyDescent="0.3">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row>
    <row r="549" spans="5:79" x14ac:dyDescent="0.3">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row>
    <row r="550" spans="5:79" x14ac:dyDescent="0.3">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row>
    <row r="551" spans="5:79" x14ac:dyDescent="0.3">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row>
    <row r="552" spans="5:79" x14ac:dyDescent="0.3">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row>
    <row r="553" spans="5:79" x14ac:dyDescent="0.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row>
    <row r="554" spans="5:79" x14ac:dyDescent="0.3">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row>
    <row r="555" spans="5:79" x14ac:dyDescent="0.3">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row>
    <row r="556" spans="5:79" x14ac:dyDescent="0.3">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row>
    <row r="557" spans="5:79" x14ac:dyDescent="0.3">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row>
    <row r="558" spans="5:79" x14ac:dyDescent="0.3">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row>
    <row r="559" spans="5:79" x14ac:dyDescent="0.3">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row>
    <row r="560" spans="5:79" x14ac:dyDescent="0.3">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row>
    <row r="561" spans="5:79" x14ac:dyDescent="0.3">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row>
    <row r="562" spans="5:79" x14ac:dyDescent="0.3">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row>
    <row r="563" spans="5:79" x14ac:dyDescent="0.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row>
    <row r="564" spans="5:79" x14ac:dyDescent="0.3">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row>
    <row r="565" spans="5:79" x14ac:dyDescent="0.3">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row>
    <row r="566" spans="5:79" x14ac:dyDescent="0.3">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row>
    <row r="567" spans="5:79" x14ac:dyDescent="0.3">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row>
    <row r="568" spans="5:79" x14ac:dyDescent="0.3">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row>
    <row r="569" spans="5:79" x14ac:dyDescent="0.3">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row>
    <row r="570" spans="5:79" x14ac:dyDescent="0.3">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row>
    <row r="571" spans="5:79" x14ac:dyDescent="0.3">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row>
    <row r="572" spans="5:79" x14ac:dyDescent="0.3">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row>
    <row r="573" spans="5:79" x14ac:dyDescent="0.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row>
    <row r="574" spans="5:79" x14ac:dyDescent="0.3">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row>
    <row r="575" spans="5:79" x14ac:dyDescent="0.3">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row>
    <row r="576" spans="5:79" x14ac:dyDescent="0.3">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row>
    <row r="577" spans="5:79" x14ac:dyDescent="0.3">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row>
    <row r="578" spans="5:79" x14ac:dyDescent="0.3">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row>
    <row r="579" spans="5:79" x14ac:dyDescent="0.3">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row>
    <row r="580" spans="5:79" x14ac:dyDescent="0.3">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row>
    <row r="581" spans="5:79" x14ac:dyDescent="0.3">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row>
    <row r="582" spans="5:79" x14ac:dyDescent="0.3">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row>
    <row r="583" spans="5:79" x14ac:dyDescent="0.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row>
    <row r="584" spans="5:79" x14ac:dyDescent="0.3">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row>
    <row r="585" spans="5:79" x14ac:dyDescent="0.3">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row>
    <row r="586" spans="5:79" x14ac:dyDescent="0.3">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row>
    <row r="587" spans="5:79" x14ac:dyDescent="0.3">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row>
    <row r="588" spans="5:79" x14ac:dyDescent="0.3">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row>
    <row r="589" spans="5:79" x14ac:dyDescent="0.3">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row>
    <row r="590" spans="5:79" x14ac:dyDescent="0.3">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row>
    <row r="591" spans="5:79" x14ac:dyDescent="0.3">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row>
    <row r="592" spans="5:79" x14ac:dyDescent="0.3">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row>
    <row r="593" spans="5:79" x14ac:dyDescent="0.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row>
    <row r="594" spans="5:79" x14ac:dyDescent="0.3">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row>
    <row r="595" spans="5:79" x14ac:dyDescent="0.3">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row>
    <row r="596" spans="5:79" x14ac:dyDescent="0.3">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row>
    <row r="597" spans="5:79" x14ac:dyDescent="0.3">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row>
    <row r="598" spans="5:79" x14ac:dyDescent="0.3">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row>
    <row r="599" spans="5:79" x14ac:dyDescent="0.3">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row>
    <row r="600" spans="5:79" x14ac:dyDescent="0.3">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row>
    <row r="601" spans="5:79" x14ac:dyDescent="0.3">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row>
    <row r="602" spans="5:79" x14ac:dyDescent="0.3">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row>
    <row r="603" spans="5:79" x14ac:dyDescent="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row>
    <row r="604" spans="5:79" x14ac:dyDescent="0.3">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row>
    <row r="605" spans="5:79" x14ac:dyDescent="0.3">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row>
    <row r="606" spans="5:79" x14ac:dyDescent="0.3">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row>
    <row r="607" spans="5:79" x14ac:dyDescent="0.3">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row>
    <row r="608" spans="5:79" x14ac:dyDescent="0.3">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row>
    <row r="609" spans="5:79" x14ac:dyDescent="0.3">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row>
    <row r="610" spans="5:79" x14ac:dyDescent="0.3">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row>
    <row r="611" spans="5:79" x14ac:dyDescent="0.3">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row>
    <row r="612" spans="5:79" x14ac:dyDescent="0.3">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row>
    <row r="613" spans="5:79" x14ac:dyDescent="0.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row>
    <row r="614" spans="5:79" x14ac:dyDescent="0.3">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row>
    <row r="615" spans="5:79" x14ac:dyDescent="0.3">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row>
    <row r="616" spans="5:79" x14ac:dyDescent="0.3">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row>
    <row r="617" spans="5:79" x14ac:dyDescent="0.3">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row>
    <row r="618" spans="5:79" x14ac:dyDescent="0.3">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row>
    <row r="619" spans="5:79" x14ac:dyDescent="0.3">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row>
    <row r="620" spans="5:79" x14ac:dyDescent="0.3">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row>
    <row r="621" spans="5:79" x14ac:dyDescent="0.3">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row>
    <row r="622" spans="5:79" x14ac:dyDescent="0.3">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row>
    <row r="623" spans="5:79" x14ac:dyDescent="0.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row>
    <row r="624" spans="5:79" x14ac:dyDescent="0.3">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row>
    <row r="625" spans="5:79" x14ac:dyDescent="0.3">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row>
    <row r="626" spans="5:79" x14ac:dyDescent="0.3">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row>
    <row r="627" spans="5:79" x14ac:dyDescent="0.3">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row>
    <row r="628" spans="5:79" x14ac:dyDescent="0.3">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row>
    <row r="629" spans="5:79" x14ac:dyDescent="0.3">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row>
    <row r="630" spans="5:79" x14ac:dyDescent="0.3">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row>
    <row r="631" spans="5:79" x14ac:dyDescent="0.3">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row>
    <row r="632" spans="5:79" x14ac:dyDescent="0.3">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row>
    <row r="633" spans="5:79" x14ac:dyDescent="0.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row>
    <row r="634" spans="5:79" x14ac:dyDescent="0.3">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row>
    <row r="635" spans="5:79" x14ac:dyDescent="0.3">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row>
    <row r="636" spans="5:79" x14ac:dyDescent="0.3">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row>
    <row r="637" spans="5:79" x14ac:dyDescent="0.3">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row>
    <row r="638" spans="5:79" x14ac:dyDescent="0.3">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row>
    <row r="639" spans="5:79" x14ac:dyDescent="0.3">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row>
    <row r="640" spans="5:79" x14ac:dyDescent="0.3">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row>
    <row r="641" spans="5:79" x14ac:dyDescent="0.3">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row>
    <row r="642" spans="5:79" x14ac:dyDescent="0.3">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row>
    <row r="643" spans="5:79" x14ac:dyDescent="0.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row>
    <row r="644" spans="5:79" x14ac:dyDescent="0.3">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row>
    <row r="645" spans="5:79" x14ac:dyDescent="0.3">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row>
    <row r="646" spans="5:79" x14ac:dyDescent="0.3">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row>
    <row r="647" spans="5:79" x14ac:dyDescent="0.3">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row>
    <row r="648" spans="5:79" x14ac:dyDescent="0.3">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row>
    <row r="649" spans="5:79" x14ac:dyDescent="0.3">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row>
    <row r="650" spans="5:79" x14ac:dyDescent="0.3">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row>
    <row r="651" spans="5:79" x14ac:dyDescent="0.3">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row>
    <row r="652" spans="5:79" x14ac:dyDescent="0.3">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row>
    <row r="653" spans="5:79" x14ac:dyDescent="0.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row>
    <row r="654" spans="5:79" x14ac:dyDescent="0.3">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row>
    <row r="655" spans="5:79" x14ac:dyDescent="0.3">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row>
    <row r="656" spans="5:79" x14ac:dyDescent="0.3">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row>
    <row r="657" spans="5:79" x14ac:dyDescent="0.3">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row>
    <row r="658" spans="5:79" x14ac:dyDescent="0.3">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row>
    <row r="659" spans="5:79" x14ac:dyDescent="0.3">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row>
    <row r="660" spans="5:79" x14ac:dyDescent="0.3">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row>
    <row r="661" spans="5:79" x14ac:dyDescent="0.3">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row>
    <row r="662" spans="5:79" x14ac:dyDescent="0.3">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row>
    <row r="663" spans="5:79" x14ac:dyDescent="0.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row>
    <row r="664" spans="5:79" x14ac:dyDescent="0.3">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row>
    <row r="665" spans="5:79" x14ac:dyDescent="0.3">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row>
    <row r="666" spans="5:79" x14ac:dyDescent="0.3">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row>
    <row r="667" spans="5:79" x14ac:dyDescent="0.3">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row>
    <row r="668" spans="5:79" x14ac:dyDescent="0.3">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row>
    <row r="669" spans="5:79" x14ac:dyDescent="0.3">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row>
    <row r="670" spans="5:79" x14ac:dyDescent="0.3">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row>
    <row r="671" spans="5:79" x14ac:dyDescent="0.3">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row>
    <row r="672" spans="5:79" x14ac:dyDescent="0.3">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row>
    <row r="673" spans="5:79" x14ac:dyDescent="0.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row>
    <row r="674" spans="5:79" x14ac:dyDescent="0.3">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row>
    <row r="675" spans="5:79" x14ac:dyDescent="0.3">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row>
    <row r="676" spans="5:79" x14ac:dyDescent="0.3">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row>
    <row r="677" spans="5:79" x14ac:dyDescent="0.3">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row>
    <row r="678" spans="5:79" x14ac:dyDescent="0.3">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row>
    <row r="679" spans="5:79" x14ac:dyDescent="0.3">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row>
    <row r="680" spans="5:79" x14ac:dyDescent="0.3">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row>
    <row r="681" spans="5:79" x14ac:dyDescent="0.3">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row>
    <row r="682" spans="5:79" x14ac:dyDescent="0.3">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row>
    <row r="683" spans="5:79" x14ac:dyDescent="0.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row>
    <row r="684" spans="5:79" x14ac:dyDescent="0.3">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row>
    <row r="685" spans="5:79" x14ac:dyDescent="0.3">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row>
    <row r="686" spans="5:79" x14ac:dyDescent="0.3">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row>
    <row r="687" spans="5:79" x14ac:dyDescent="0.3">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row>
    <row r="688" spans="5:79" x14ac:dyDescent="0.3">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row>
    <row r="689" spans="5:79" x14ac:dyDescent="0.3">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row>
    <row r="690" spans="5:79" x14ac:dyDescent="0.3">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row>
    <row r="691" spans="5:79" x14ac:dyDescent="0.3">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row>
    <row r="692" spans="5:79" x14ac:dyDescent="0.3">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row>
    <row r="693" spans="5:79" x14ac:dyDescent="0.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row>
    <row r="694" spans="5:79" x14ac:dyDescent="0.3">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row>
    <row r="695" spans="5:79" x14ac:dyDescent="0.3">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row>
    <row r="696" spans="5:79" x14ac:dyDescent="0.3">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row>
    <row r="697" spans="5:79" x14ac:dyDescent="0.3">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row>
    <row r="698" spans="5:79" x14ac:dyDescent="0.3">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row>
    <row r="699" spans="5:79" x14ac:dyDescent="0.3">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row>
    <row r="700" spans="5:79" x14ac:dyDescent="0.3">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row>
    <row r="701" spans="5:79" x14ac:dyDescent="0.3">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row>
    <row r="702" spans="5:79" x14ac:dyDescent="0.3">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row>
    <row r="703" spans="5:79" x14ac:dyDescent="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row>
    <row r="704" spans="5:79" x14ac:dyDescent="0.3">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row>
    <row r="705" spans="5:79" x14ac:dyDescent="0.3">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row>
    <row r="706" spans="5:79" x14ac:dyDescent="0.3">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row>
    <row r="707" spans="5:79" x14ac:dyDescent="0.3">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row>
    <row r="708" spans="5:79" x14ac:dyDescent="0.3">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row>
    <row r="709" spans="5:79" x14ac:dyDescent="0.3">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row>
    <row r="710" spans="5:79" x14ac:dyDescent="0.3">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row>
    <row r="711" spans="5:79" x14ac:dyDescent="0.3">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row>
    <row r="712" spans="5:79" x14ac:dyDescent="0.3">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row>
    <row r="713" spans="5:79" x14ac:dyDescent="0.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row>
    <row r="714" spans="5:79" x14ac:dyDescent="0.3">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row>
    <row r="715" spans="5:79" x14ac:dyDescent="0.3">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row>
    <row r="716" spans="5:79" x14ac:dyDescent="0.3">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row>
    <row r="717" spans="5:79" x14ac:dyDescent="0.3">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row>
    <row r="718" spans="5:79" x14ac:dyDescent="0.3">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row>
    <row r="719" spans="5:79" x14ac:dyDescent="0.3">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row>
    <row r="720" spans="5:79" x14ac:dyDescent="0.3">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row>
    <row r="721" spans="5:79" x14ac:dyDescent="0.3">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row>
    <row r="722" spans="5:79" x14ac:dyDescent="0.3">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row>
    <row r="723" spans="5:79" x14ac:dyDescent="0.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row>
    <row r="724" spans="5:79" x14ac:dyDescent="0.3">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row>
    <row r="725" spans="5:79" x14ac:dyDescent="0.3">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row>
    <row r="726" spans="5:79" x14ac:dyDescent="0.3">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row>
    <row r="727" spans="5:79" x14ac:dyDescent="0.3">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row>
    <row r="728" spans="5:79" x14ac:dyDescent="0.3">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row>
    <row r="729" spans="5:79" x14ac:dyDescent="0.3">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row>
    <row r="730" spans="5:79" x14ac:dyDescent="0.3">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row>
    <row r="731" spans="5:79" x14ac:dyDescent="0.3">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row>
    <row r="732" spans="5:79" x14ac:dyDescent="0.3">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row>
    <row r="733" spans="5:79" x14ac:dyDescent="0.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row>
    <row r="734" spans="5:79" x14ac:dyDescent="0.3">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row>
    <row r="735" spans="5:79" x14ac:dyDescent="0.3">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row>
    <row r="736" spans="5:79" x14ac:dyDescent="0.3">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row>
    <row r="737" spans="5:79" x14ac:dyDescent="0.3">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row>
    <row r="738" spans="5:79" x14ac:dyDescent="0.3">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row>
    <row r="739" spans="5:79" x14ac:dyDescent="0.3">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row>
    <row r="740" spans="5:79" x14ac:dyDescent="0.3">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row>
    <row r="741" spans="5:79" x14ac:dyDescent="0.3">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row>
    <row r="742" spans="5:79" x14ac:dyDescent="0.3">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row>
    <row r="743" spans="5:79" x14ac:dyDescent="0.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row>
    <row r="744" spans="5:79" x14ac:dyDescent="0.3">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row>
    <row r="745" spans="5:79" x14ac:dyDescent="0.3">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row>
    <row r="746" spans="5:79" x14ac:dyDescent="0.3">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row>
    <row r="747" spans="5:79" x14ac:dyDescent="0.3">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row>
    <row r="748" spans="5:79" x14ac:dyDescent="0.3">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row>
    <row r="749" spans="5:79" x14ac:dyDescent="0.3">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row>
    <row r="750" spans="5:79" x14ac:dyDescent="0.3">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row>
    <row r="751" spans="5:79" x14ac:dyDescent="0.3">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row>
    <row r="752" spans="5:79" x14ac:dyDescent="0.3">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row>
    <row r="753" spans="5:79" x14ac:dyDescent="0.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row>
    <row r="754" spans="5:79" x14ac:dyDescent="0.3">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row>
    <row r="755" spans="5:79" x14ac:dyDescent="0.3">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row>
    <row r="756" spans="5:79" x14ac:dyDescent="0.3">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row>
    <row r="757" spans="5:79" x14ac:dyDescent="0.3">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row>
    <row r="758" spans="5:79" x14ac:dyDescent="0.3">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row>
    <row r="759" spans="5:79" x14ac:dyDescent="0.3">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row>
    <row r="760" spans="5:79" x14ac:dyDescent="0.3">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row>
    <row r="761" spans="5:79" x14ac:dyDescent="0.3">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row>
    <row r="762" spans="5:79" x14ac:dyDescent="0.3">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row>
    <row r="763" spans="5:79" x14ac:dyDescent="0.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row>
    <row r="764" spans="5:79" x14ac:dyDescent="0.3">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row>
    <row r="765" spans="5:79" x14ac:dyDescent="0.3">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row>
    <row r="766" spans="5:79" x14ac:dyDescent="0.3">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row>
    <row r="767" spans="5:79" x14ac:dyDescent="0.3">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row>
    <row r="768" spans="5:79" x14ac:dyDescent="0.3">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row>
    <row r="769" spans="5:79" x14ac:dyDescent="0.3">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row>
    <row r="770" spans="5:79" x14ac:dyDescent="0.3">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row>
    <row r="771" spans="5:79" x14ac:dyDescent="0.3">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row>
    <row r="772" spans="5:79" x14ac:dyDescent="0.3">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row>
    <row r="773" spans="5:79" x14ac:dyDescent="0.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row>
    <row r="774" spans="5:79" x14ac:dyDescent="0.3">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row>
    <row r="775" spans="5:79" x14ac:dyDescent="0.3">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row>
    <row r="776" spans="5:79" x14ac:dyDescent="0.3">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row>
    <row r="777" spans="5:79" x14ac:dyDescent="0.3">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row>
    <row r="778" spans="5:79" x14ac:dyDescent="0.3">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row>
    <row r="779" spans="5:79" x14ac:dyDescent="0.3">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row>
    <row r="780" spans="5:79" x14ac:dyDescent="0.3">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row>
    <row r="781" spans="5:79" x14ac:dyDescent="0.3">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row>
    <row r="782" spans="5:79" x14ac:dyDescent="0.3">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row>
    <row r="783" spans="5:79" x14ac:dyDescent="0.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row>
    <row r="784" spans="5:79" x14ac:dyDescent="0.3">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row>
    <row r="785" spans="5:79" x14ac:dyDescent="0.3">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row>
    <row r="786" spans="5:79" x14ac:dyDescent="0.3">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row>
    <row r="787" spans="5:79" x14ac:dyDescent="0.3">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row>
    <row r="788" spans="5:79" x14ac:dyDescent="0.3">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row>
    <row r="789" spans="5:79" x14ac:dyDescent="0.3">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row>
    <row r="790" spans="5:79" x14ac:dyDescent="0.3">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row>
    <row r="791" spans="5:79" x14ac:dyDescent="0.3">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row>
    <row r="792" spans="5:79" x14ac:dyDescent="0.3">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row>
    <row r="793" spans="5:79" x14ac:dyDescent="0.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row>
    <row r="794" spans="5:79" x14ac:dyDescent="0.3">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row>
    <row r="795" spans="5:79" x14ac:dyDescent="0.3">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row>
    <row r="796" spans="5:79" x14ac:dyDescent="0.3">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row>
    <row r="797" spans="5:79" x14ac:dyDescent="0.3">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row>
    <row r="798" spans="5:79" x14ac:dyDescent="0.3">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row>
    <row r="799" spans="5:79" x14ac:dyDescent="0.3">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row>
    <row r="800" spans="5:79" x14ac:dyDescent="0.3">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row>
    <row r="801" spans="5:79" x14ac:dyDescent="0.3">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row>
    <row r="802" spans="5:79" x14ac:dyDescent="0.3">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row>
    <row r="803" spans="5:79" x14ac:dyDescent="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row>
    <row r="804" spans="5:79" x14ac:dyDescent="0.3">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row>
    <row r="805" spans="5:79" x14ac:dyDescent="0.3">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row>
    <row r="806" spans="5:79" x14ac:dyDescent="0.3">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row>
    <row r="807" spans="5:79" x14ac:dyDescent="0.3">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row>
    <row r="808" spans="5:79" x14ac:dyDescent="0.3">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row>
    <row r="809" spans="5:79" x14ac:dyDescent="0.3">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row>
    <row r="810" spans="5:79" x14ac:dyDescent="0.3">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row>
    <row r="811" spans="5:79" x14ac:dyDescent="0.3">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row>
    <row r="812" spans="5:79" x14ac:dyDescent="0.3">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row>
    <row r="813" spans="5:79" x14ac:dyDescent="0.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row>
    <row r="814" spans="5:79" x14ac:dyDescent="0.3">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row>
    <row r="815" spans="5:79" x14ac:dyDescent="0.3">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row>
    <row r="816" spans="5:79" x14ac:dyDescent="0.3">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row>
    <row r="817" spans="5:79" x14ac:dyDescent="0.3">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row>
    <row r="818" spans="5:79" x14ac:dyDescent="0.3">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row>
    <row r="819" spans="5:79" x14ac:dyDescent="0.3">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row>
    <row r="820" spans="5:79" x14ac:dyDescent="0.3">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row>
    <row r="821" spans="5:79" x14ac:dyDescent="0.3">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row>
    <row r="822" spans="5:79" x14ac:dyDescent="0.3">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row>
    <row r="823" spans="5:79" x14ac:dyDescent="0.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row>
    <row r="824" spans="5:79" x14ac:dyDescent="0.3">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row>
    <row r="825" spans="5:79" x14ac:dyDescent="0.3">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row>
    <row r="826" spans="5:79" x14ac:dyDescent="0.3">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row>
    <row r="827" spans="5:79" x14ac:dyDescent="0.3">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row>
    <row r="828" spans="5:79" x14ac:dyDescent="0.3">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row>
    <row r="829" spans="5:79" x14ac:dyDescent="0.3">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row>
    <row r="830" spans="5:79" x14ac:dyDescent="0.3">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row>
    <row r="831" spans="5:79" x14ac:dyDescent="0.3">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row>
    <row r="832" spans="5:79" x14ac:dyDescent="0.3">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row>
    <row r="833" spans="5:79" x14ac:dyDescent="0.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row>
    <row r="834" spans="5:79" x14ac:dyDescent="0.3">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row>
    <row r="835" spans="5:79" x14ac:dyDescent="0.3">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row>
    <row r="836" spans="5:79" x14ac:dyDescent="0.3">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row>
    <row r="837" spans="5:79" x14ac:dyDescent="0.3">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row>
    <row r="838" spans="5:79" x14ac:dyDescent="0.3">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row>
    <row r="839" spans="5:79" x14ac:dyDescent="0.3">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row>
    <row r="840" spans="5:79" x14ac:dyDescent="0.3">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row>
    <row r="841" spans="5:79" x14ac:dyDescent="0.3">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row>
    <row r="842" spans="5:79" x14ac:dyDescent="0.3">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row>
    <row r="843" spans="5:79" x14ac:dyDescent="0.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row>
    <row r="844" spans="5:79" x14ac:dyDescent="0.3">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row>
    <row r="845" spans="5:79" x14ac:dyDescent="0.3">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row>
    <row r="846" spans="5:79" x14ac:dyDescent="0.3">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row>
    <row r="847" spans="5:79" x14ac:dyDescent="0.3">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row>
    <row r="848" spans="5:79" x14ac:dyDescent="0.3">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row>
    <row r="849" spans="5:79" x14ac:dyDescent="0.3">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row>
    <row r="850" spans="5:79" x14ac:dyDescent="0.3">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row>
    <row r="851" spans="5:79" x14ac:dyDescent="0.3">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row>
    <row r="852" spans="5:79" x14ac:dyDescent="0.3">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row>
    <row r="853" spans="5:79" x14ac:dyDescent="0.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row>
    <row r="854" spans="5:79" x14ac:dyDescent="0.3">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row>
    <row r="855" spans="5:79" x14ac:dyDescent="0.3">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row>
    <row r="856" spans="5:79" x14ac:dyDescent="0.3">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row>
    <row r="857" spans="5:79" x14ac:dyDescent="0.3">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row>
    <row r="858" spans="5:79" x14ac:dyDescent="0.3">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row>
    <row r="859" spans="5:79" x14ac:dyDescent="0.3">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row>
    <row r="860" spans="5:79" x14ac:dyDescent="0.3">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row>
    <row r="861" spans="5:79" x14ac:dyDescent="0.3">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row>
    <row r="862" spans="5:79" x14ac:dyDescent="0.3">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row>
    <row r="863" spans="5:79" x14ac:dyDescent="0.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row>
    <row r="864" spans="5:79" x14ac:dyDescent="0.3">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row>
    <row r="865" spans="5:79" x14ac:dyDescent="0.3">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row>
    <row r="866" spans="5:79" x14ac:dyDescent="0.3">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row>
    <row r="867" spans="5:79" x14ac:dyDescent="0.3">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row>
    <row r="868" spans="5:79" x14ac:dyDescent="0.3">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row>
    <row r="869" spans="5:79" x14ac:dyDescent="0.3">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row>
    <row r="870" spans="5:79" x14ac:dyDescent="0.3">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row>
    <row r="871" spans="5:79" x14ac:dyDescent="0.3">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row>
    <row r="872" spans="5:79" x14ac:dyDescent="0.3">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row>
    <row r="873" spans="5:79" x14ac:dyDescent="0.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row>
    <row r="874" spans="5:79" x14ac:dyDescent="0.3">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row>
    <row r="875" spans="5:79" x14ac:dyDescent="0.3">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row>
    <row r="876" spans="5:79" x14ac:dyDescent="0.3">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row>
    <row r="877" spans="5:79" x14ac:dyDescent="0.3">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row>
    <row r="878" spans="5:79" x14ac:dyDescent="0.3">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row>
    <row r="879" spans="5:79" x14ac:dyDescent="0.3">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row>
    <row r="880" spans="5:79" x14ac:dyDescent="0.3">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row>
    <row r="881" spans="5:79" x14ac:dyDescent="0.3">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row>
    <row r="882" spans="5:79" x14ac:dyDescent="0.3">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row>
    <row r="883" spans="5:79" x14ac:dyDescent="0.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row>
    <row r="884" spans="5:79" x14ac:dyDescent="0.3">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row>
    <row r="885" spans="5:79" x14ac:dyDescent="0.3">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row>
    <row r="886" spans="5:79" x14ac:dyDescent="0.3">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row>
    <row r="887" spans="5:79" x14ac:dyDescent="0.3">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row>
    <row r="888" spans="5:79" x14ac:dyDescent="0.3">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row>
    <row r="889" spans="5:79" x14ac:dyDescent="0.3">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row>
    <row r="890" spans="5:79" x14ac:dyDescent="0.3">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row>
    <row r="891" spans="5:79" x14ac:dyDescent="0.3">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row>
    <row r="892" spans="5:79" x14ac:dyDescent="0.3">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row>
    <row r="893" spans="5:79" x14ac:dyDescent="0.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row>
    <row r="894" spans="5:79" x14ac:dyDescent="0.3">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row>
    <row r="895" spans="5:79" x14ac:dyDescent="0.3">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row>
    <row r="896" spans="5:79" x14ac:dyDescent="0.3">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row>
    <row r="897" spans="5:79" x14ac:dyDescent="0.3">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row>
    <row r="898" spans="5:79" x14ac:dyDescent="0.3">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row>
    <row r="899" spans="5:79" x14ac:dyDescent="0.3">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row>
    <row r="900" spans="5:79" x14ac:dyDescent="0.3">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row>
    <row r="901" spans="5:79" x14ac:dyDescent="0.3">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row>
    <row r="902" spans="5:79" x14ac:dyDescent="0.3">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row>
    <row r="903" spans="5:79" x14ac:dyDescent="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row>
    <row r="904" spans="5:79" x14ac:dyDescent="0.3">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row>
    <row r="905" spans="5:79" x14ac:dyDescent="0.3">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row>
    <row r="906" spans="5:79" x14ac:dyDescent="0.3">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row>
    <row r="907" spans="5:79" x14ac:dyDescent="0.3">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row>
    <row r="908" spans="5:79" x14ac:dyDescent="0.3">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row>
    <row r="909" spans="5:79" x14ac:dyDescent="0.3">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row>
    <row r="910" spans="5:79" x14ac:dyDescent="0.3">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row>
    <row r="911" spans="5:79" x14ac:dyDescent="0.3">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row>
    <row r="912" spans="5:79" x14ac:dyDescent="0.3">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row>
    <row r="913" spans="5:79" x14ac:dyDescent="0.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row>
    <row r="914" spans="5:79" x14ac:dyDescent="0.3">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row>
    <row r="915" spans="5:79" x14ac:dyDescent="0.3">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row>
    <row r="916" spans="5:79" x14ac:dyDescent="0.3">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row>
    <row r="917" spans="5:79" x14ac:dyDescent="0.3">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row>
    <row r="918" spans="5:79" x14ac:dyDescent="0.3">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row>
    <row r="919" spans="5:79" x14ac:dyDescent="0.3">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row>
    <row r="920" spans="5:79" x14ac:dyDescent="0.3">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row>
    <row r="921" spans="5:79" x14ac:dyDescent="0.3">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row>
    <row r="922" spans="5:79" x14ac:dyDescent="0.3">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row>
    <row r="923" spans="5:79" x14ac:dyDescent="0.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row>
    <row r="924" spans="5:79" x14ac:dyDescent="0.3">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row>
    <row r="925" spans="5:79" x14ac:dyDescent="0.3">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row>
    <row r="926" spans="5:79" x14ac:dyDescent="0.3">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row>
    <row r="927" spans="5:79" x14ac:dyDescent="0.3">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row>
    <row r="928" spans="5:79" x14ac:dyDescent="0.3">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row>
    <row r="929" spans="5:79" x14ac:dyDescent="0.3">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row>
    <row r="930" spans="5:79" x14ac:dyDescent="0.3">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row>
    <row r="931" spans="5:79" x14ac:dyDescent="0.3">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row>
    <row r="932" spans="5:79" x14ac:dyDescent="0.3">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row>
    <row r="933" spans="5:79" x14ac:dyDescent="0.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row>
    <row r="934" spans="5:79" x14ac:dyDescent="0.3">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row>
    <row r="935" spans="5:79" x14ac:dyDescent="0.3">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row>
    <row r="936" spans="5:79" x14ac:dyDescent="0.3">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row>
    <row r="937" spans="5:79" x14ac:dyDescent="0.3">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row>
    <row r="938" spans="5:79" x14ac:dyDescent="0.3">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row>
    <row r="939" spans="5:79" x14ac:dyDescent="0.3">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row>
    <row r="940" spans="5:79" x14ac:dyDescent="0.3">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row>
    <row r="941" spans="5:79" x14ac:dyDescent="0.3">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row>
    <row r="942" spans="5:79" x14ac:dyDescent="0.3">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row>
    <row r="943" spans="5:79" x14ac:dyDescent="0.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row>
    <row r="944" spans="5:79" x14ac:dyDescent="0.3">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row>
    <row r="945" spans="5:79" x14ac:dyDescent="0.3">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row>
    <row r="946" spans="5:79" x14ac:dyDescent="0.3">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row>
    <row r="947" spans="5:79" x14ac:dyDescent="0.3">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row>
    <row r="948" spans="5:79" x14ac:dyDescent="0.3">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row>
    <row r="949" spans="5:79" x14ac:dyDescent="0.3">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row>
    <row r="950" spans="5:79" x14ac:dyDescent="0.3">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row>
    <row r="951" spans="5:79" x14ac:dyDescent="0.3">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row>
    <row r="952" spans="5:79" x14ac:dyDescent="0.3">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row>
    <row r="953" spans="5:79" x14ac:dyDescent="0.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row>
    <row r="954" spans="5:79" x14ac:dyDescent="0.3">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row>
    <row r="955" spans="5:79" x14ac:dyDescent="0.3">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row>
    <row r="956" spans="5:79" x14ac:dyDescent="0.3">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row>
    <row r="957" spans="5:79" x14ac:dyDescent="0.3">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row>
    <row r="958" spans="5:79" x14ac:dyDescent="0.3">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row>
    <row r="959" spans="5:79" x14ac:dyDescent="0.3">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row>
    <row r="960" spans="5:79" x14ac:dyDescent="0.3">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row>
    <row r="961" spans="5:79" x14ac:dyDescent="0.3">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row>
    <row r="962" spans="5:79" x14ac:dyDescent="0.3">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row>
    <row r="963" spans="5:79" x14ac:dyDescent="0.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row>
    <row r="964" spans="5:79" x14ac:dyDescent="0.3">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row>
    <row r="965" spans="5:79" x14ac:dyDescent="0.3">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row>
    <row r="966" spans="5:79" x14ac:dyDescent="0.3">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row>
    <row r="967" spans="5:79" x14ac:dyDescent="0.3">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row>
    <row r="968" spans="5:79" x14ac:dyDescent="0.3">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row>
    <row r="969" spans="5:79" x14ac:dyDescent="0.3">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row>
    <row r="970" spans="5:79" x14ac:dyDescent="0.3">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row>
    <row r="971" spans="5:79" x14ac:dyDescent="0.3">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row>
    <row r="972" spans="5:79" x14ac:dyDescent="0.3">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row>
    <row r="973" spans="5:79" x14ac:dyDescent="0.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row>
    <row r="974" spans="5:79" x14ac:dyDescent="0.3">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row>
    <row r="975" spans="5:79" x14ac:dyDescent="0.3">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row>
    <row r="976" spans="5:79" x14ac:dyDescent="0.3">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row>
    <row r="977" spans="5:79" x14ac:dyDescent="0.3">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row>
    <row r="978" spans="5:79" x14ac:dyDescent="0.3">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row>
    <row r="979" spans="5:79" x14ac:dyDescent="0.3">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row>
    <row r="980" spans="5:79" x14ac:dyDescent="0.3">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row>
    <row r="981" spans="5:79" x14ac:dyDescent="0.3">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row>
    <row r="982" spans="5:79" x14ac:dyDescent="0.3">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row>
    <row r="983" spans="5:79" x14ac:dyDescent="0.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row>
    <row r="984" spans="5:79" x14ac:dyDescent="0.3">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row>
    <row r="985" spans="5:79" x14ac:dyDescent="0.3">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row>
    <row r="986" spans="5:79" x14ac:dyDescent="0.3">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row>
    <row r="987" spans="5:79" x14ac:dyDescent="0.3">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row>
    <row r="988" spans="5:79" x14ac:dyDescent="0.3">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row>
    <row r="989" spans="5:79" x14ac:dyDescent="0.3">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row>
    <row r="990" spans="5:79" x14ac:dyDescent="0.3">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row>
    <row r="991" spans="5:79" x14ac:dyDescent="0.3">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row>
    <row r="992" spans="5:79" x14ac:dyDescent="0.3">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row>
    <row r="993" spans="5:79" x14ac:dyDescent="0.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row>
    <row r="994" spans="5:79" x14ac:dyDescent="0.3">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row>
    <row r="995" spans="5:79" x14ac:dyDescent="0.3">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row>
    <row r="996" spans="5:79" x14ac:dyDescent="0.3">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row>
    <row r="997" spans="5:79" x14ac:dyDescent="0.3">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row>
    <row r="998" spans="5:79" x14ac:dyDescent="0.3">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row>
    <row r="999" spans="5:79" x14ac:dyDescent="0.3">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row>
    <row r="1000" spans="5:79" x14ac:dyDescent="0.3">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row>
  </sheetData>
  <autoFilter ref="D6:D110"/>
  <mergeCells count="3">
    <mergeCell ref="F3:J3"/>
    <mergeCell ref="O3:R3"/>
    <mergeCell ref="C3:D3"/>
  </mergeCells>
  <conditionalFormatting sqref="I1001:J1048576">
    <cfRule type="colorScale" priority="3">
      <colorScale>
        <cfvo type="num" val="-2"/>
        <cfvo type="num" val="0"/>
        <cfvo type="num" val="2"/>
        <color rgb="FFF8696B"/>
        <color rgb="FFFCFCFF"/>
        <color rgb="FF63BE7B"/>
      </colorScale>
    </cfRule>
  </conditionalFormatting>
  <dataValidations count="3">
    <dataValidation type="list" allowBlank="1" showInputMessage="1" showErrorMessage="1" sqref="F3:J4">
      <formula1>Stakeholders</formula1>
    </dataValidation>
    <dataValidation type="list" allowBlank="1" showInputMessage="1" showErrorMessage="1" sqref="O3:R4">
      <formula1>Dimensions</formula1>
    </dataValidation>
    <dataValidation type="list" allowBlank="1" showInputMessage="1" showErrorMessage="1" sqref="C7:C288">
      <formula1>Scenarios</formula1>
    </dataValidation>
  </dataValidations>
  <pageMargins left="0.7" right="0.7" top="0.78740157499999996" bottom="0.78740157499999996"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391" r:id="rId4" name="Button 151">
              <controlPr defaultSize="0" print="0" autoFill="0" autoPict="0" macro="[0]!New_Requirement_Click">
                <anchor moveWithCells="1" sizeWithCells="1">
                  <from>
                    <xdr:col>1</xdr:col>
                    <xdr:colOff>114300</xdr:colOff>
                    <xdr:row>1</xdr:row>
                    <xdr:rowOff>106680</xdr:rowOff>
                  </from>
                  <to>
                    <xdr:col>1</xdr:col>
                    <xdr:colOff>1356360</xdr:colOff>
                    <xdr:row>3</xdr:row>
                    <xdr:rowOff>45720</xdr:rowOff>
                  </to>
                </anchor>
              </controlPr>
            </control>
          </mc:Choice>
        </mc:AlternateContent>
        <mc:AlternateContent xmlns:mc="http://schemas.openxmlformats.org/markup-compatibility/2006">
          <mc:Choice Requires="x14">
            <control shapeId="10437" r:id="rId5" name="Button 197">
              <controlPr defaultSize="0" print="0" autoFill="0" autoPict="0" macro="[0]!Delete_Last_Requirement_Click">
                <anchor moveWithCells="1" sizeWithCells="1">
                  <from>
                    <xdr:col>1</xdr:col>
                    <xdr:colOff>1531620</xdr:colOff>
                    <xdr:row>1</xdr:row>
                    <xdr:rowOff>114300</xdr:rowOff>
                  </from>
                  <to>
                    <xdr:col>1</xdr:col>
                    <xdr:colOff>3291840</xdr:colOff>
                    <xdr:row>3</xdr:row>
                    <xdr:rowOff>53340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48" id="{E64D038C-09A5-44D2-A507-43CE2B17F77F}">
            <x14:iconSet iconSet="3Symbols2" showValue="0" custom="1">
              <x14:cfvo type="percent">
                <xm:f>0</xm:f>
              </x14:cfvo>
              <x14:cfvo type="num" gte="0">
                <xm:f>0</xm:f>
              </x14:cfvo>
              <x14:cfvo type="num" gte="0">
                <xm:f>0</xm:f>
              </x14:cfvo>
              <x14:cfIcon iconSet="NoIcons" iconId="0"/>
              <x14:cfIcon iconSet="NoIcons" iconId="0"/>
              <x14:cfIcon iconSet="3Symbols2" iconId="2"/>
            </x14:iconSet>
          </x14:cfRule>
          <xm:sqref>D7:D81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7:H38"/>
  <sheetViews>
    <sheetView showGridLines="0" zoomScale="130" zoomScaleNormal="130" workbookViewId="0">
      <selection activeCell="E23" sqref="E23"/>
    </sheetView>
  </sheetViews>
  <sheetFormatPr baseColWidth="10" defaultRowHeight="14.4" x14ac:dyDescent="0.3"/>
  <cols>
    <col min="2" max="2" width="29" customWidth="1"/>
    <col min="8" max="8" width="11.77734375" customWidth="1"/>
  </cols>
  <sheetData>
    <row r="27" spans="2:8" ht="28.8" x14ac:dyDescent="0.3">
      <c r="B27" s="122" t="s">
        <v>9</v>
      </c>
      <c r="C27" s="122" t="s">
        <v>409</v>
      </c>
      <c r="D27" s="122" t="s">
        <v>410</v>
      </c>
      <c r="E27" s="83"/>
      <c r="F27" s="78" t="s">
        <v>46</v>
      </c>
      <c r="G27" s="122" t="s">
        <v>411</v>
      </c>
      <c r="H27" s="122" t="s">
        <v>412</v>
      </c>
    </row>
    <row r="28" spans="2:8" x14ac:dyDescent="0.3">
      <c r="B28" t="str">
        <f>Stakeholders!A9</f>
        <v>Person Suffering From Dementia</v>
      </c>
      <c r="C28">
        <f>SUMIFS('Goals &amp; Risks'!$G$2:$G$100,'Goals &amp; Risks'!$E$2:$E$100,Dashboard!$B28,'Goals &amp; Risks'!$B$2:$B$100,"Goal")</f>
        <v>5</v>
      </c>
      <c r="D28">
        <f>(-1)*SUMIFS('Goals &amp; Risks'!$G$2:$G$100,'Goals &amp; Risks'!$E$2:$E$100,Dashboard!$B28,'Goals &amp; Risks'!$B$2:$B$100,"Risk")</f>
        <v>9</v>
      </c>
      <c r="F28" t="str">
        <f>_Dimensions!B2</f>
        <v>Safety</v>
      </c>
      <c r="G28">
        <f>SUMIFS('Goals &amp; Risks'!$G$2:$G$100,'Goals &amp; Risks'!$F$2:$F$100,Dashboard!$F28,'Goals &amp; Risks'!$B$2:$B$100,"Goal")</f>
        <v>1</v>
      </c>
      <c r="H28">
        <f>-1*SUMIFS('Goals &amp; Risks'!$G$2:$G$100,'Goals &amp; Risks'!$F$2:$F$100,Dashboard!$F28,'Goals &amp; Risks'!$B$2:$B$100,"Risk")</f>
        <v>3</v>
      </c>
    </row>
    <row r="29" spans="2:8" x14ac:dyDescent="0.3">
      <c r="B29" t="str">
        <f>Stakeholders!A10</f>
        <v>Contact Person</v>
      </c>
      <c r="C29">
        <f>SUMIFS('Goals &amp; Risks'!$G$2:$G$100,'Goals &amp; Risks'!$E$2:$E$100,Dashboard!$B29,'Goals &amp; Risks'!$B$2:$B$100,"Goal")</f>
        <v>2</v>
      </c>
      <c r="D29">
        <f>(-1)*SUMIFS('Goals &amp; Risks'!$G$2:$G$100,'Goals &amp; Risks'!$E$2:$E$100,Dashboard!$B29,'Goals &amp; Risks'!$B$2:$B$100,"Risk")</f>
        <v>13</v>
      </c>
      <c r="F29" t="str">
        <f>_Dimensions!B3</f>
        <v>Care</v>
      </c>
      <c r="G29">
        <f>SUMIFS('Goals &amp; Risks'!$G$2:$G$100,'Goals &amp; Risks'!$F$2:$F$100,Dashboard!$F29,'Goals &amp; Risks'!$B$2:$B$100,"Goal")</f>
        <v>0</v>
      </c>
      <c r="H29">
        <f>-1*SUMIFS('Goals &amp; Risks'!$G$2:$G$100,'Goals &amp; Risks'!$F$2:$F$100,Dashboard!$F29,'Goals &amp; Risks'!$B$2:$B$100,"Risk")</f>
        <v>3</v>
      </c>
    </row>
    <row r="30" spans="2:8" x14ac:dyDescent="0.3">
      <c r="B30" t="str">
        <f>Stakeholders!A11</f>
        <v>Alert Button User</v>
      </c>
      <c r="C30">
        <f>SUMIFS('Goals &amp; Risks'!$G$2:$G$100,'Goals &amp; Risks'!$E$2:$E$100,Dashboard!$B30,'Goals &amp; Risks'!$B$2:$B$100,"Goal")</f>
        <v>1</v>
      </c>
      <c r="D30">
        <f>(-1)*SUMIFS('Goals &amp; Risks'!$G$2:$G$100,'Goals &amp; Risks'!$E$2:$E$100,Dashboard!$B30,'Goals &amp; Risks'!$B$2:$B$100,"Risk")</f>
        <v>5</v>
      </c>
      <c r="F30" t="str">
        <f>_Dimensions!B4</f>
        <v>Autonomy</v>
      </c>
      <c r="G30">
        <f>SUMIFS('Goals &amp; Risks'!$G$2:$G$100,'Goals &amp; Risks'!$F$2:$F$100,Dashboard!$F30,'Goals &amp; Risks'!$B$2:$B$100,"Goal")</f>
        <v>4</v>
      </c>
      <c r="H30">
        <f>-1*SUMIFS('Goals &amp; Risks'!$G$2:$G$100,'Goals &amp; Risks'!$F$2:$F$100,Dashboard!$F30,'Goals &amp; Risks'!$B$2:$B$100,"Risk")</f>
        <v>4</v>
      </c>
    </row>
    <row r="31" spans="2:8" x14ac:dyDescent="0.3">
      <c r="B31" t="str">
        <f>Stakeholders!A12</f>
        <v>Location with Alert Button</v>
      </c>
      <c r="C31">
        <f>SUMIFS('Goals &amp; Risks'!$G$2:$G$100,'Goals &amp; Risks'!$E$2:$E$100,Dashboard!$B31,'Goals &amp; Risks'!$B$2:$B$100,"Goal")</f>
        <v>2</v>
      </c>
      <c r="D31">
        <f>(-1)*SUMIFS('Goals &amp; Risks'!$G$2:$G$100,'Goals &amp; Risks'!$E$2:$E$100,Dashboard!$B31,'Goals &amp; Risks'!$B$2:$B$100,"Risk")</f>
        <v>10</v>
      </c>
      <c r="F31" t="str">
        <f>_Dimensions!B5</f>
        <v>Participation</v>
      </c>
      <c r="G31">
        <f>SUMIFS('Goals &amp; Risks'!$G$2:$G$100,'Goals &amp; Risks'!$F$2:$F$100,Dashboard!$F31,'Goals &amp; Risks'!$B$2:$B$100,"Goal")</f>
        <v>3</v>
      </c>
      <c r="H31">
        <f>-1*SUMIFS('Goals &amp; Risks'!$G$2:$G$100,'Goals &amp; Risks'!$F$2:$F$100,Dashboard!$F31,'Goals &amp; Risks'!$B$2:$B$100,"Risk")</f>
        <v>0</v>
      </c>
    </row>
    <row r="32" spans="2:8" x14ac:dyDescent="0.3">
      <c r="B32" t="str">
        <f>Stakeholders!A13</f>
        <v>Nursing Home Caregiver</v>
      </c>
      <c r="C32">
        <f>SUMIFS('Goals &amp; Risks'!$G$2:$G$100,'Goals &amp; Risks'!$E$2:$E$100,Dashboard!$B32,'Goals &amp; Risks'!$B$2:$B$100,"Goal")</f>
        <v>2</v>
      </c>
      <c r="D32">
        <f>(-1)*SUMIFS('Goals &amp; Risks'!$G$2:$G$100,'Goals &amp; Risks'!$E$2:$E$100,Dashboard!$B32,'Goals &amp; Risks'!$B$2:$B$100,"Risk")</f>
        <v>0</v>
      </c>
      <c r="F32" t="str">
        <f>_Dimensions!B6</f>
        <v>Privacy</v>
      </c>
      <c r="G32">
        <f>SUMIFS('Goals &amp; Risks'!$G$2:$G$100,'Goals &amp; Risks'!$F$2:$F$100,Dashboard!$F32,'Goals &amp; Risks'!$B$2:$B$100,"Goal")</f>
        <v>0</v>
      </c>
      <c r="H32">
        <f>-1*SUMIFS('Goals &amp; Risks'!$G$2:$G$100,'Goals &amp; Risks'!$F$2:$F$100,Dashboard!$F32,'Goals &amp; Risks'!$B$2:$B$100,"Risk")</f>
        <v>28</v>
      </c>
    </row>
    <row r="33" spans="2:8" x14ac:dyDescent="0.3">
      <c r="B33" t="str">
        <f>Stakeholders!A14</f>
        <v>Nursing  Home Management</v>
      </c>
      <c r="C33">
        <f>SUMIFS('Goals &amp; Risks'!$G$2:$G$100,'Goals &amp; Risks'!$E$2:$E$100,Dashboard!$B33,'Goals &amp; Risks'!$B$2:$B$100,"Goal")</f>
        <v>2</v>
      </c>
      <c r="D33">
        <f>(-1)*SUMIFS('Goals &amp; Risks'!$G$2:$G$100,'Goals &amp; Risks'!$E$2:$E$100,Dashboard!$B33,'Goals &amp; Risks'!$B$2:$B$100,"Risk")</f>
        <v>5</v>
      </c>
      <c r="F33" t="str">
        <f>_Dimensions!B7</f>
        <v>Fairness</v>
      </c>
      <c r="G33">
        <f>SUMIFS('Goals &amp; Risks'!$G$2:$G$100,'Goals &amp; Risks'!$F$2:$F$100,Dashboard!$F33,'Goals &amp; Risks'!$B$2:$B$100,"Goal")</f>
        <v>0</v>
      </c>
      <c r="H33">
        <f>-1*SUMIFS('Goals &amp; Risks'!$G$2:$G$100,'Goals &amp; Risks'!$F$2:$F$100,Dashboard!$F33,'Goals &amp; Risks'!$B$2:$B$100,"Risk")</f>
        <v>2</v>
      </c>
    </row>
    <row r="34" spans="2:8" x14ac:dyDescent="0.3">
      <c r="B34" t="str">
        <f>Stakeholders!A15</f>
        <v>Nursing Home</v>
      </c>
      <c r="C34">
        <f>SUMIFS('Goals &amp; Risks'!$G$2:$G$100,'Goals &amp; Risks'!$E$2:$E$100,Dashboard!$B34,'Goals &amp; Risks'!$B$2:$B$100,"Goal")</f>
        <v>1</v>
      </c>
      <c r="D34">
        <f>(-1)*SUMIFS('Goals &amp; Risks'!$G$2:$G$100,'Goals &amp; Risks'!$E$2:$E$100,Dashboard!$B34,'Goals &amp; Risks'!$B$2:$B$100,"Risk")</f>
        <v>5</v>
      </c>
      <c r="F34" t="str">
        <f>_Dimensions!B8</f>
        <v>Self-Conception</v>
      </c>
      <c r="G34">
        <f>SUMIFS('Goals &amp; Risks'!$G$2:$G$100,'Goals &amp; Risks'!$F$2:$F$100,Dashboard!$F34,'Goals &amp; Risks'!$B$2:$B$100,"Goal")</f>
        <v>5</v>
      </c>
      <c r="H34">
        <f>-1*SUMIFS('Goals &amp; Risks'!$G$2:$G$100,'Goals &amp; Risks'!$F$2:$F$100,Dashboard!$F34,'Goals &amp; Risks'!$B$2:$B$100,"Risk")</f>
        <v>1</v>
      </c>
    </row>
    <row r="35" spans="2:8" x14ac:dyDescent="0.3">
      <c r="B35" t="str">
        <f>Stakeholders!A16</f>
        <v>Health Insurance</v>
      </c>
      <c r="C35">
        <f>SUMIFS('Goals &amp; Risks'!$G$2:$G$100,'Goals &amp; Risks'!$E$2:$E$100,Dashboard!$B35,'Goals &amp; Risks'!$B$2:$B$100,"Goal")</f>
        <v>3</v>
      </c>
      <c r="D35">
        <f>(-1)*SUMIFS('Goals &amp; Risks'!$G$2:$G$100,'Goals &amp; Risks'!$E$2:$E$100,Dashboard!$B35,'Goals &amp; Risks'!$B$2:$B$100,"Risk")</f>
        <v>3</v>
      </c>
      <c r="F35" t="str">
        <f>_Dimensions!B9</f>
        <v>Liability</v>
      </c>
      <c r="G35">
        <f>SUMIFS('Goals &amp; Risks'!$G$2:$G$100,'Goals &amp; Risks'!$F$2:$F$100,Dashboard!$F35,'Goals &amp; Risks'!$B$2:$B$100,"Goal")</f>
        <v>3</v>
      </c>
      <c r="H35">
        <f>-1*SUMIFS('Goals &amp; Risks'!$G$2:$G$100,'Goals &amp; Risks'!$F$2:$F$100,Dashboard!$F35,'Goals &amp; Risks'!$B$2:$B$100,"Risk")</f>
        <v>17</v>
      </c>
    </row>
    <row r="36" spans="2:8" x14ac:dyDescent="0.3">
      <c r="B36" t="str">
        <f>Stakeholders!A17</f>
        <v>Emergency Call System Operator</v>
      </c>
      <c r="C36">
        <f>SUMIFS('Goals &amp; Risks'!$G$2:$G$100,'Goals &amp; Risks'!$E$2:$E$100,Dashboard!$B36,'Goals &amp; Risks'!$B$2:$B$100,"Goal")</f>
        <v>3</v>
      </c>
      <c r="D36">
        <f>(-1)*SUMIFS('Goals &amp; Risks'!$G$2:$G$100,'Goals &amp; Risks'!$E$2:$E$100,Dashboard!$B36,'Goals &amp; Risks'!$B$2:$B$100,"Risk")</f>
        <v>7</v>
      </c>
      <c r="F36" t="str">
        <f>_Dimensions!B10</f>
        <v>Profitability</v>
      </c>
      <c r="G36">
        <f>SUMIFS('Goals &amp; Risks'!$G$2:$G$100,'Goals &amp; Risks'!$F$2:$F$100,Dashboard!$F36,'Goals &amp; Risks'!$B$2:$B$100,"Goal")</f>
        <v>8</v>
      </c>
      <c r="H36">
        <f>-1*SUMIFS('Goals &amp; Risks'!$G$2:$G$100,'Goals &amp; Risks'!$F$2:$F$100,Dashboard!$F36,'Goals &amp; Risks'!$B$2:$B$100,"Risk")</f>
        <v>5</v>
      </c>
    </row>
    <row r="37" spans="2:8" x14ac:dyDescent="0.3">
      <c r="B37" t="str">
        <f>Stakeholders!A18</f>
        <v>ILA Startup</v>
      </c>
      <c r="C37">
        <f>SUMIFS('Goals &amp; Risks'!$G$2:$G$100,'Goals &amp; Risks'!$E$2:$E$100,Dashboard!$B37,'Goals &amp; Risks'!$B$2:$B$100,"Goal")</f>
        <v>6</v>
      </c>
      <c r="D37">
        <f>(-1)*SUMIFS('Goals &amp; Risks'!$G$2:$G$100,'Goals &amp; Risks'!$E$2:$E$100,Dashboard!$B37,'Goals &amp; Risks'!$B$2:$B$100,"Risk")</f>
        <v>6</v>
      </c>
      <c r="F37" t="str">
        <f>_Dimensions!B11</f>
        <v>Opportunity</v>
      </c>
      <c r="G37">
        <f>SUMIFS('Goals &amp; Risks'!$G$2:$G$100,'Goals &amp; Risks'!$F$2:$F$100,Dashboard!$F37,'Goals &amp; Risks'!$B$2:$B$100,"Goal")</f>
        <v>5</v>
      </c>
      <c r="H37">
        <f>-1*SUMIFS('Goals &amp; Risks'!$G$2:$G$100,'Goals &amp; Risks'!$F$2:$F$100,Dashboard!$F37,'Goals &amp; Risks'!$B$2:$B$100,"Risk")</f>
        <v>1</v>
      </c>
    </row>
    <row r="38" spans="2:8" x14ac:dyDescent="0.3">
      <c r="B38" t="str">
        <f>Stakeholders!A19</f>
        <v>Society</v>
      </c>
      <c r="C38">
        <f>SUMIFS('Goals &amp; Risks'!$G$2:$G$100,'Goals &amp; Risks'!$E$2:$E$100,Dashboard!$B38,'Goals &amp; Risks'!$B$2:$B$100,"Goal")</f>
        <v>2</v>
      </c>
      <c r="D38">
        <f>(-1)*SUMIFS('Goals &amp; Risks'!$G$2:$G$100,'Goals &amp; Risks'!$E$2:$E$100,Dashboard!$B38,'Goals &amp; Risks'!$B$2:$B$100,"Risk")</f>
        <v>1</v>
      </c>
    </row>
  </sheetData>
  <pageMargins left="0.7" right="0.7" top="0.78740157499999996" bottom="0.78740157499999996"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dimension ref="A1:H338"/>
  <sheetViews>
    <sheetView zoomScale="130" zoomScaleNormal="130" workbookViewId="0">
      <pane ySplit="1" topLeftCell="A2" activePane="bottomLeft" state="frozen"/>
      <selection pane="bottomLeft" activeCell="G5" sqref="G5"/>
    </sheetView>
  </sheetViews>
  <sheetFormatPr baseColWidth="10" defaultRowHeight="14.4" x14ac:dyDescent="0.3"/>
  <cols>
    <col min="1" max="1" width="8.44140625" style="1" customWidth="1"/>
    <col min="2" max="2" width="12.44140625" style="1" customWidth="1"/>
    <col min="3" max="3" width="9.109375" style="1" customWidth="1"/>
    <col min="4" max="4" width="18.77734375" style="1" customWidth="1"/>
    <col min="5" max="5" width="20.6640625" style="1" customWidth="1"/>
    <col min="6" max="6" width="14.44140625" style="1" customWidth="1"/>
    <col min="7" max="7" width="20.109375" style="1" customWidth="1"/>
    <col min="8" max="8" width="75.109375" style="1" customWidth="1"/>
    <col min="9" max="16384" width="11.5546875" style="1"/>
  </cols>
  <sheetData>
    <row r="1" spans="1:8" x14ac:dyDescent="0.3">
      <c r="A1" s="48" t="s">
        <v>30</v>
      </c>
      <c r="B1" s="48" t="s">
        <v>96</v>
      </c>
      <c r="C1" s="48" t="s">
        <v>15</v>
      </c>
      <c r="D1" s="48" t="s">
        <v>168</v>
      </c>
      <c r="E1" s="48" t="s">
        <v>182</v>
      </c>
      <c r="F1" s="48" t="s">
        <v>195</v>
      </c>
      <c r="G1" s="48" t="s">
        <v>199</v>
      </c>
      <c r="H1" s="48" t="s">
        <v>198</v>
      </c>
    </row>
    <row r="2" spans="1:8" ht="43.2" x14ac:dyDescent="0.3">
      <c r="A2" s="1" t="str">
        <f>IF(ISBLANK(B2),"","E"&amp;TEXT(ROW()-1,"000"))</f>
        <v>E001</v>
      </c>
      <c r="B2" s="1" t="s">
        <v>184</v>
      </c>
      <c r="C2" s="1" t="str">
        <f t="shared" ref="C2:C65" si="0">IF(LEN(IFERROR(VLOOKUP(B2,Reqs_and_Explanation,3,FALSE),""))&lt;3,"",IFERROR(VLOOKUP(B2,Reqs_and_Explanation,3,FALSE),""))</f>
        <v/>
      </c>
      <c r="D2" s="1" t="s">
        <v>165</v>
      </c>
      <c r="E2" s="1" t="s">
        <v>174</v>
      </c>
      <c r="F2" s="1" t="s">
        <v>2</v>
      </c>
      <c r="G2" s="1" t="s">
        <v>202</v>
      </c>
      <c r="H2" s="1" t="s">
        <v>188</v>
      </c>
    </row>
    <row r="3" spans="1:8" ht="43.2" x14ac:dyDescent="0.3">
      <c r="A3" s="1" t="str">
        <f t="shared" ref="A3:A66" si="1">IF(ISBLANK(B3),"","E"&amp;TEXT(ROW()-1,"000"))</f>
        <v>E002</v>
      </c>
      <c r="B3" s="1" t="s">
        <v>185</v>
      </c>
      <c r="C3" s="1" t="str">
        <f t="shared" si="0"/>
        <v>2_SeveralContacts</v>
      </c>
      <c r="D3" s="1" t="s">
        <v>163</v>
      </c>
      <c r="E3" s="1" t="s">
        <v>171</v>
      </c>
      <c r="F3" s="1" t="s">
        <v>2</v>
      </c>
      <c r="G3" s="1" t="s">
        <v>203</v>
      </c>
      <c r="H3" s="1" t="s">
        <v>201</v>
      </c>
    </row>
    <row r="4" spans="1:8" ht="28.8" x14ac:dyDescent="0.3">
      <c r="A4" s="1" t="str">
        <f t="shared" si="1"/>
        <v>E003</v>
      </c>
      <c r="B4" s="1" t="s">
        <v>185</v>
      </c>
      <c r="C4" s="1" t="str">
        <f t="shared" si="0"/>
        <v>2_SeveralContacts</v>
      </c>
      <c r="D4" s="1" t="s">
        <v>163</v>
      </c>
      <c r="E4" s="1" t="s">
        <v>174</v>
      </c>
      <c r="F4" s="1" t="s">
        <v>2</v>
      </c>
      <c r="G4" s="1" t="s">
        <v>204</v>
      </c>
      <c r="H4" s="1" t="s">
        <v>189</v>
      </c>
    </row>
    <row r="5" spans="1:8" ht="43.2" x14ac:dyDescent="0.3">
      <c r="A5" s="1" t="str">
        <f t="shared" si="1"/>
        <v>E004</v>
      </c>
      <c r="B5" s="1" t="s">
        <v>186</v>
      </c>
      <c r="C5" s="1" t="str">
        <f t="shared" si="0"/>
        <v>5_WithEmergCall</v>
      </c>
      <c r="D5" s="1" t="s">
        <v>165</v>
      </c>
      <c r="E5" s="1" t="s">
        <v>191</v>
      </c>
      <c r="F5" s="1" t="s">
        <v>2</v>
      </c>
      <c r="G5" s="1" t="s">
        <v>205</v>
      </c>
      <c r="H5" s="1" t="s">
        <v>193</v>
      </c>
    </row>
    <row r="6" spans="1:8" ht="57.6" x14ac:dyDescent="0.3">
      <c r="A6" s="1" t="str">
        <f t="shared" si="1"/>
        <v>E005</v>
      </c>
      <c r="B6" s="1" t="s">
        <v>186</v>
      </c>
      <c r="C6" s="1" t="str">
        <f t="shared" si="0"/>
        <v>5_WithEmergCall</v>
      </c>
      <c r="D6" s="1" t="s">
        <v>165</v>
      </c>
      <c r="E6" s="1" t="s">
        <v>172</v>
      </c>
      <c r="F6" s="1" t="s">
        <v>2</v>
      </c>
      <c r="G6" s="1" t="s">
        <v>206</v>
      </c>
      <c r="H6" s="1" t="s">
        <v>194</v>
      </c>
    </row>
    <row r="7" spans="1:8" ht="43.2" x14ac:dyDescent="0.3">
      <c r="A7" s="1" t="str">
        <f t="shared" si="1"/>
        <v>E006</v>
      </c>
      <c r="B7" s="1" t="s">
        <v>118</v>
      </c>
      <c r="C7" s="1" t="str">
        <f t="shared" si="0"/>
        <v>1_NursingHome</v>
      </c>
      <c r="D7" s="1" t="s">
        <v>163</v>
      </c>
      <c r="E7" s="1" t="s">
        <v>174</v>
      </c>
      <c r="F7" s="1" t="s">
        <v>0</v>
      </c>
      <c r="G7" s="1" t="s">
        <v>207</v>
      </c>
      <c r="H7" s="1" t="s">
        <v>197</v>
      </c>
    </row>
    <row r="8" spans="1:8" ht="43.2" x14ac:dyDescent="0.3">
      <c r="A8" s="1" t="str">
        <f t="shared" si="1"/>
        <v>E007</v>
      </c>
      <c r="B8" s="1" t="s">
        <v>118</v>
      </c>
      <c r="C8" s="1" t="str">
        <f t="shared" si="0"/>
        <v>1_NursingHome</v>
      </c>
      <c r="D8" s="1" t="s">
        <v>163</v>
      </c>
      <c r="E8" s="1" t="s">
        <v>174</v>
      </c>
      <c r="F8" s="1" t="s">
        <v>0</v>
      </c>
      <c r="G8" s="1" t="s">
        <v>208</v>
      </c>
      <c r="H8" s="1" t="s">
        <v>200</v>
      </c>
    </row>
    <row r="9" spans="1:8" ht="28.8" x14ac:dyDescent="0.3">
      <c r="A9" s="1" t="str">
        <f t="shared" si="1"/>
        <v>E008</v>
      </c>
      <c r="B9" s="1" t="s">
        <v>118</v>
      </c>
      <c r="C9" s="1" t="str">
        <f t="shared" si="0"/>
        <v>1_NursingHome</v>
      </c>
      <c r="D9" s="1" t="s">
        <v>187</v>
      </c>
      <c r="E9" s="1" t="s">
        <v>174</v>
      </c>
      <c r="F9" s="1" t="s">
        <v>1</v>
      </c>
      <c r="G9" s="1" t="s">
        <v>209</v>
      </c>
      <c r="H9" s="1" t="s">
        <v>210</v>
      </c>
    </row>
    <row r="10" spans="1:8" x14ac:dyDescent="0.3">
      <c r="A10" s="1" t="str">
        <f t="shared" si="1"/>
        <v/>
      </c>
      <c r="C10" s="1" t="str">
        <f t="shared" si="0"/>
        <v/>
      </c>
    </row>
    <row r="11" spans="1:8" x14ac:dyDescent="0.3">
      <c r="A11" s="1" t="str">
        <f t="shared" si="1"/>
        <v/>
      </c>
      <c r="C11" s="1" t="str">
        <f t="shared" si="0"/>
        <v/>
      </c>
    </row>
    <row r="12" spans="1:8" x14ac:dyDescent="0.3">
      <c r="A12" s="1" t="str">
        <f t="shared" si="1"/>
        <v/>
      </c>
      <c r="C12" s="1" t="str">
        <f t="shared" si="0"/>
        <v/>
      </c>
    </row>
    <row r="13" spans="1:8" x14ac:dyDescent="0.3">
      <c r="A13" s="1" t="str">
        <f t="shared" si="1"/>
        <v/>
      </c>
      <c r="C13" s="1" t="str">
        <f t="shared" si="0"/>
        <v/>
      </c>
    </row>
    <row r="14" spans="1:8" x14ac:dyDescent="0.3">
      <c r="A14" s="1" t="str">
        <f t="shared" si="1"/>
        <v/>
      </c>
      <c r="C14" s="1" t="str">
        <f t="shared" si="0"/>
        <v/>
      </c>
    </row>
    <row r="15" spans="1:8" x14ac:dyDescent="0.3">
      <c r="A15" s="1" t="str">
        <f t="shared" si="1"/>
        <v/>
      </c>
      <c r="C15" s="1" t="str">
        <f t="shared" si="0"/>
        <v/>
      </c>
    </row>
    <row r="16" spans="1:8" x14ac:dyDescent="0.3">
      <c r="A16" s="1" t="str">
        <f t="shared" si="1"/>
        <v/>
      </c>
      <c r="C16" s="1" t="str">
        <f t="shared" si="0"/>
        <v/>
      </c>
    </row>
    <row r="17" spans="1:3" x14ac:dyDescent="0.3">
      <c r="A17" s="1" t="str">
        <f t="shared" si="1"/>
        <v/>
      </c>
      <c r="C17" s="1" t="str">
        <f t="shared" si="0"/>
        <v/>
      </c>
    </row>
    <row r="18" spans="1:3" x14ac:dyDescent="0.3">
      <c r="A18" s="1" t="str">
        <f t="shared" si="1"/>
        <v/>
      </c>
      <c r="C18" s="1" t="str">
        <f t="shared" si="0"/>
        <v/>
      </c>
    </row>
    <row r="19" spans="1:3" x14ac:dyDescent="0.3">
      <c r="A19" s="1" t="str">
        <f t="shared" si="1"/>
        <v/>
      </c>
      <c r="C19" s="1" t="str">
        <f t="shared" si="0"/>
        <v/>
      </c>
    </row>
    <row r="20" spans="1:3" x14ac:dyDescent="0.3">
      <c r="A20" s="1" t="str">
        <f t="shared" si="1"/>
        <v/>
      </c>
      <c r="C20" s="1" t="str">
        <f t="shared" si="0"/>
        <v/>
      </c>
    </row>
    <row r="21" spans="1:3" x14ac:dyDescent="0.3">
      <c r="A21" s="1" t="str">
        <f t="shared" si="1"/>
        <v/>
      </c>
      <c r="C21" s="1" t="str">
        <f t="shared" si="0"/>
        <v/>
      </c>
    </row>
    <row r="22" spans="1:3" x14ac:dyDescent="0.3">
      <c r="A22" s="1" t="str">
        <f t="shared" si="1"/>
        <v/>
      </c>
      <c r="C22" s="1" t="str">
        <f t="shared" si="0"/>
        <v/>
      </c>
    </row>
    <row r="23" spans="1:3" x14ac:dyDescent="0.3">
      <c r="A23" s="1" t="str">
        <f t="shared" si="1"/>
        <v/>
      </c>
      <c r="C23" s="1" t="str">
        <f t="shared" si="0"/>
        <v/>
      </c>
    </row>
    <row r="24" spans="1:3" x14ac:dyDescent="0.3">
      <c r="A24" s="1" t="str">
        <f t="shared" si="1"/>
        <v/>
      </c>
      <c r="C24" s="1" t="str">
        <f t="shared" si="0"/>
        <v/>
      </c>
    </row>
    <row r="25" spans="1:3" x14ac:dyDescent="0.3">
      <c r="A25" s="1" t="str">
        <f t="shared" si="1"/>
        <v/>
      </c>
      <c r="C25" s="1" t="str">
        <f t="shared" si="0"/>
        <v/>
      </c>
    </row>
    <row r="26" spans="1:3" x14ac:dyDescent="0.3">
      <c r="A26" s="1" t="str">
        <f t="shared" si="1"/>
        <v/>
      </c>
      <c r="C26" s="1" t="str">
        <f t="shared" si="0"/>
        <v/>
      </c>
    </row>
    <row r="27" spans="1:3" x14ac:dyDescent="0.3">
      <c r="A27" s="1" t="str">
        <f t="shared" si="1"/>
        <v/>
      </c>
      <c r="C27" s="1" t="str">
        <f t="shared" si="0"/>
        <v/>
      </c>
    </row>
    <row r="28" spans="1:3" x14ac:dyDescent="0.3">
      <c r="A28" s="1" t="str">
        <f t="shared" si="1"/>
        <v/>
      </c>
      <c r="C28" s="1" t="str">
        <f t="shared" si="0"/>
        <v/>
      </c>
    </row>
    <row r="29" spans="1:3" x14ac:dyDescent="0.3">
      <c r="A29" s="1" t="str">
        <f t="shared" si="1"/>
        <v/>
      </c>
      <c r="C29" s="1" t="str">
        <f t="shared" si="0"/>
        <v/>
      </c>
    </row>
    <row r="30" spans="1:3" x14ac:dyDescent="0.3">
      <c r="A30" s="1" t="str">
        <f t="shared" si="1"/>
        <v/>
      </c>
      <c r="C30" s="1" t="str">
        <f t="shared" si="0"/>
        <v/>
      </c>
    </row>
    <row r="31" spans="1:3" x14ac:dyDescent="0.3">
      <c r="A31" s="1" t="str">
        <f t="shared" si="1"/>
        <v/>
      </c>
      <c r="C31" s="1" t="str">
        <f t="shared" si="0"/>
        <v/>
      </c>
    </row>
    <row r="32" spans="1:3" x14ac:dyDescent="0.3">
      <c r="A32" s="1" t="str">
        <f t="shared" si="1"/>
        <v/>
      </c>
      <c r="C32" s="1" t="str">
        <f t="shared" si="0"/>
        <v/>
      </c>
    </row>
    <row r="33" spans="1:3" x14ac:dyDescent="0.3">
      <c r="A33" s="1" t="str">
        <f t="shared" si="1"/>
        <v/>
      </c>
      <c r="C33" s="1" t="str">
        <f t="shared" si="0"/>
        <v/>
      </c>
    </row>
    <row r="34" spans="1:3" x14ac:dyDescent="0.3">
      <c r="A34" s="1" t="str">
        <f t="shared" si="1"/>
        <v/>
      </c>
      <c r="C34" s="1" t="str">
        <f t="shared" si="0"/>
        <v/>
      </c>
    </row>
    <row r="35" spans="1:3" x14ac:dyDescent="0.3">
      <c r="A35" s="1" t="str">
        <f t="shared" si="1"/>
        <v/>
      </c>
      <c r="C35" s="1" t="str">
        <f t="shared" si="0"/>
        <v/>
      </c>
    </row>
    <row r="36" spans="1:3" x14ac:dyDescent="0.3">
      <c r="A36" s="1" t="str">
        <f t="shared" si="1"/>
        <v/>
      </c>
      <c r="C36" s="1" t="str">
        <f t="shared" si="0"/>
        <v/>
      </c>
    </row>
    <row r="37" spans="1:3" x14ac:dyDescent="0.3">
      <c r="A37" s="1" t="str">
        <f t="shared" si="1"/>
        <v/>
      </c>
      <c r="C37" s="1" t="str">
        <f t="shared" si="0"/>
        <v/>
      </c>
    </row>
    <row r="38" spans="1:3" x14ac:dyDescent="0.3">
      <c r="A38" s="1" t="str">
        <f t="shared" si="1"/>
        <v/>
      </c>
      <c r="C38" s="1" t="str">
        <f t="shared" si="0"/>
        <v/>
      </c>
    </row>
    <row r="39" spans="1:3" x14ac:dyDescent="0.3">
      <c r="A39" s="1" t="str">
        <f t="shared" si="1"/>
        <v/>
      </c>
      <c r="C39" s="1" t="str">
        <f t="shared" si="0"/>
        <v/>
      </c>
    </row>
    <row r="40" spans="1:3" x14ac:dyDescent="0.3">
      <c r="A40" s="1" t="str">
        <f t="shared" si="1"/>
        <v/>
      </c>
      <c r="C40" s="1" t="str">
        <f t="shared" si="0"/>
        <v/>
      </c>
    </row>
    <row r="41" spans="1:3" x14ac:dyDescent="0.3">
      <c r="A41" s="1" t="str">
        <f t="shared" si="1"/>
        <v/>
      </c>
      <c r="C41" s="1" t="str">
        <f t="shared" si="0"/>
        <v/>
      </c>
    </row>
    <row r="42" spans="1:3" x14ac:dyDescent="0.3">
      <c r="A42" s="1" t="str">
        <f t="shared" si="1"/>
        <v/>
      </c>
      <c r="C42" s="1" t="str">
        <f t="shared" si="0"/>
        <v/>
      </c>
    </row>
    <row r="43" spans="1:3" x14ac:dyDescent="0.3">
      <c r="A43" s="1" t="str">
        <f t="shared" si="1"/>
        <v/>
      </c>
      <c r="C43" s="1" t="str">
        <f t="shared" si="0"/>
        <v/>
      </c>
    </row>
    <row r="44" spans="1:3" x14ac:dyDescent="0.3">
      <c r="A44" s="1" t="str">
        <f t="shared" si="1"/>
        <v/>
      </c>
      <c r="C44" s="1" t="str">
        <f t="shared" si="0"/>
        <v/>
      </c>
    </row>
    <row r="45" spans="1:3" x14ac:dyDescent="0.3">
      <c r="A45" s="1" t="str">
        <f t="shared" si="1"/>
        <v/>
      </c>
      <c r="C45" s="1" t="str">
        <f t="shared" si="0"/>
        <v/>
      </c>
    </row>
    <row r="46" spans="1:3" x14ac:dyDescent="0.3">
      <c r="A46" s="1" t="str">
        <f t="shared" si="1"/>
        <v/>
      </c>
      <c r="C46" s="1" t="str">
        <f t="shared" si="0"/>
        <v/>
      </c>
    </row>
    <row r="47" spans="1:3" x14ac:dyDescent="0.3">
      <c r="A47" s="1" t="str">
        <f t="shared" si="1"/>
        <v/>
      </c>
      <c r="C47" s="1" t="str">
        <f t="shared" si="0"/>
        <v/>
      </c>
    </row>
    <row r="48" spans="1:3" x14ac:dyDescent="0.3">
      <c r="A48" s="1" t="str">
        <f t="shared" si="1"/>
        <v/>
      </c>
      <c r="C48" s="1" t="str">
        <f t="shared" si="0"/>
        <v/>
      </c>
    </row>
    <row r="49" spans="1:3" x14ac:dyDescent="0.3">
      <c r="A49" s="1" t="str">
        <f t="shared" si="1"/>
        <v/>
      </c>
      <c r="C49" s="1" t="str">
        <f t="shared" si="0"/>
        <v/>
      </c>
    </row>
    <row r="50" spans="1:3" x14ac:dyDescent="0.3">
      <c r="A50" s="1" t="str">
        <f t="shared" si="1"/>
        <v/>
      </c>
      <c r="C50" s="1" t="str">
        <f t="shared" si="0"/>
        <v/>
      </c>
    </row>
    <row r="51" spans="1:3" x14ac:dyDescent="0.3">
      <c r="A51" s="1" t="str">
        <f t="shared" si="1"/>
        <v/>
      </c>
      <c r="C51" s="1" t="str">
        <f t="shared" si="0"/>
        <v/>
      </c>
    </row>
    <row r="52" spans="1:3" x14ac:dyDescent="0.3">
      <c r="A52" s="1" t="str">
        <f t="shared" si="1"/>
        <v/>
      </c>
      <c r="C52" s="1" t="str">
        <f t="shared" si="0"/>
        <v/>
      </c>
    </row>
    <row r="53" spans="1:3" x14ac:dyDescent="0.3">
      <c r="A53" s="1" t="str">
        <f t="shared" si="1"/>
        <v/>
      </c>
      <c r="C53" s="1" t="str">
        <f t="shared" si="0"/>
        <v/>
      </c>
    </row>
    <row r="54" spans="1:3" x14ac:dyDescent="0.3">
      <c r="A54" s="1" t="str">
        <f t="shared" si="1"/>
        <v/>
      </c>
      <c r="C54" s="1" t="str">
        <f t="shared" si="0"/>
        <v/>
      </c>
    </row>
    <row r="55" spans="1:3" x14ac:dyDescent="0.3">
      <c r="A55" s="1" t="str">
        <f t="shared" si="1"/>
        <v/>
      </c>
      <c r="C55" s="1" t="str">
        <f t="shared" si="0"/>
        <v/>
      </c>
    </row>
    <row r="56" spans="1:3" x14ac:dyDescent="0.3">
      <c r="A56" s="1" t="str">
        <f t="shared" si="1"/>
        <v/>
      </c>
      <c r="C56" s="1" t="str">
        <f t="shared" si="0"/>
        <v/>
      </c>
    </row>
    <row r="57" spans="1:3" x14ac:dyDescent="0.3">
      <c r="A57" s="1" t="str">
        <f t="shared" si="1"/>
        <v/>
      </c>
      <c r="C57" s="1" t="str">
        <f t="shared" si="0"/>
        <v/>
      </c>
    </row>
    <row r="58" spans="1:3" x14ac:dyDescent="0.3">
      <c r="A58" s="1" t="str">
        <f t="shared" si="1"/>
        <v/>
      </c>
      <c r="C58" s="1" t="str">
        <f t="shared" si="0"/>
        <v/>
      </c>
    </row>
    <row r="59" spans="1:3" x14ac:dyDescent="0.3">
      <c r="A59" s="1" t="str">
        <f t="shared" si="1"/>
        <v/>
      </c>
      <c r="C59" s="1" t="str">
        <f t="shared" si="0"/>
        <v/>
      </c>
    </row>
    <row r="60" spans="1:3" x14ac:dyDescent="0.3">
      <c r="A60" s="1" t="str">
        <f t="shared" si="1"/>
        <v/>
      </c>
      <c r="C60" s="1" t="str">
        <f t="shared" si="0"/>
        <v/>
      </c>
    </row>
    <row r="61" spans="1:3" x14ac:dyDescent="0.3">
      <c r="A61" s="1" t="str">
        <f t="shared" si="1"/>
        <v/>
      </c>
      <c r="C61" s="1" t="str">
        <f t="shared" si="0"/>
        <v/>
      </c>
    </row>
    <row r="62" spans="1:3" x14ac:dyDescent="0.3">
      <c r="A62" s="1" t="str">
        <f t="shared" si="1"/>
        <v/>
      </c>
      <c r="C62" s="1" t="str">
        <f t="shared" si="0"/>
        <v/>
      </c>
    </row>
    <row r="63" spans="1:3" x14ac:dyDescent="0.3">
      <c r="A63" s="1" t="str">
        <f t="shared" si="1"/>
        <v/>
      </c>
      <c r="C63" s="1" t="str">
        <f t="shared" si="0"/>
        <v/>
      </c>
    </row>
    <row r="64" spans="1:3" x14ac:dyDescent="0.3">
      <c r="A64" s="1" t="str">
        <f t="shared" si="1"/>
        <v/>
      </c>
      <c r="C64" s="1" t="str">
        <f t="shared" si="0"/>
        <v/>
      </c>
    </row>
    <row r="65" spans="1:3" x14ac:dyDescent="0.3">
      <c r="A65" s="1" t="str">
        <f t="shared" si="1"/>
        <v/>
      </c>
      <c r="C65" s="1" t="str">
        <f t="shared" si="0"/>
        <v/>
      </c>
    </row>
    <row r="66" spans="1:3" x14ac:dyDescent="0.3">
      <c r="A66" s="1" t="str">
        <f t="shared" si="1"/>
        <v/>
      </c>
      <c r="C66" s="1" t="str">
        <f t="shared" ref="C66:C129" si="2">IF(LEN(IFERROR(VLOOKUP(B66,Reqs_and_Explanation,3,FALSE),""))&lt;3,"",IFERROR(VLOOKUP(B66,Reqs_and_Explanation,3,FALSE),""))</f>
        <v/>
      </c>
    </row>
    <row r="67" spans="1:3" x14ac:dyDescent="0.3">
      <c r="A67" s="1" t="str">
        <f t="shared" ref="A67:A130" si="3">IF(ISBLANK(B67),"","E"&amp;TEXT(ROW()-1,"000"))</f>
        <v/>
      </c>
      <c r="C67" s="1" t="str">
        <f t="shared" si="2"/>
        <v/>
      </c>
    </row>
    <row r="68" spans="1:3" x14ac:dyDescent="0.3">
      <c r="A68" s="1" t="str">
        <f t="shared" si="3"/>
        <v/>
      </c>
      <c r="C68" s="1" t="str">
        <f t="shared" si="2"/>
        <v/>
      </c>
    </row>
    <row r="69" spans="1:3" x14ac:dyDescent="0.3">
      <c r="A69" s="1" t="str">
        <f t="shared" si="3"/>
        <v/>
      </c>
      <c r="C69" s="1" t="str">
        <f t="shared" si="2"/>
        <v/>
      </c>
    </row>
    <row r="70" spans="1:3" x14ac:dyDescent="0.3">
      <c r="A70" s="1" t="str">
        <f t="shared" si="3"/>
        <v/>
      </c>
      <c r="C70" s="1" t="str">
        <f t="shared" si="2"/>
        <v/>
      </c>
    </row>
    <row r="71" spans="1:3" x14ac:dyDescent="0.3">
      <c r="A71" s="1" t="str">
        <f t="shared" si="3"/>
        <v/>
      </c>
      <c r="C71" s="1" t="str">
        <f t="shared" si="2"/>
        <v/>
      </c>
    </row>
    <row r="72" spans="1:3" x14ac:dyDescent="0.3">
      <c r="A72" s="1" t="str">
        <f t="shared" si="3"/>
        <v/>
      </c>
      <c r="C72" s="1" t="str">
        <f t="shared" si="2"/>
        <v/>
      </c>
    </row>
    <row r="73" spans="1:3" x14ac:dyDescent="0.3">
      <c r="A73" s="1" t="str">
        <f t="shared" si="3"/>
        <v/>
      </c>
      <c r="C73" s="1" t="str">
        <f t="shared" si="2"/>
        <v/>
      </c>
    </row>
    <row r="74" spans="1:3" x14ac:dyDescent="0.3">
      <c r="A74" s="1" t="str">
        <f t="shared" si="3"/>
        <v/>
      </c>
      <c r="C74" s="1" t="str">
        <f t="shared" si="2"/>
        <v/>
      </c>
    </row>
    <row r="75" spans="1:3" x14ac:dyDescent="0.3">
      <c r="A75" s="1" t="str">
        <f t="shared" si="3"/>
        <v/>
      </c>
      <c r="C75" s="1" t="str">
        <f t="shared" si="2"/>
        <v/>
      </c>
    </row>
    <row r="76" spans="1:3" x14ac:dyDescent="0.3">
      <c r="A76" s="1" t="str">
        <f t="shared" si="3"/>
        <v/>
      </c>
      <c r="C76" s="1" t="str">
        <f t="shared" si="2"/>
        <v/>
      </c>
    </row>
    <row r="77" spans="1:3" x14ac:dyDescent="0.3">
      <c r="A77" s="1" t="str">
        <f t="shared" si="3"/>
        <v/>
      </c>
      <c r="C77" s="1" t="str">
        <f t="shared" si="2"/>
        <v/>
      </c>
    </row>
    <row r="78" spans="1:3" x14ac:dyDescent="0.3">
      <c r="A78" s="1" t="str">
        <f t="shared" si="3"/>
        <v/>
      </c>
      <c r="C78" s="1" t="str">
        <f t="shared" si="2"/>
        <v/>
      </c>
    </row>
    <row r="79" spans="1:3" x14ac:dyDescent="0.3">
      <c r="A79" s="1" t="str">
        <f t="shared" si="3"/>
        <v/>
      </c>
      <c r="C79" s="1" t="str">
        <f t="shared" si="2"/>
        <v/>
      </c>
    </row>
    <row r="80" spans="1:3" x14ac:dyDescent="0.3">
      <c r="A80" s="1" t="str">
        <f t="shared" si="3"/>
        <v/>
      </c>
      <c r="C80" s="1" t="str">
        <f t="shared" si="2"/>
        <v/>
      </c>
    </row>
    <row r="81" spans="1:3" x14ac:dyDescent="0.3">
      <c r="A81" s="1" t="str">
        <f t="shared" si="3"/>
        <v/>
      </c>
      <c r="C81" s="1" t="str">
        <f t="shared" si="2"/>
        <v/>
      </c>
    </row>
    <row r="82" spans="1:3" x14ac:dyDescent="0.3">
      <c r="A82" s="1" t="str">
        <f t="shared" si="3"/>
        <v/>
      </c>
      <c r="C82" s="1" t="str">
        <f t="shared" si="2"/>
        <v/>
      </c>
    </row>
    <row r="83" spans="1:3" x14ac:dyDescent="0.3">
      <c r="A83" s="1" t="str">
        <f t="shared" si="3"/>
        <v/>
      </c>
      <c r="C83" s="1" t="str">
        <f t="shared" si="2"/>
        <v/>
      </c>
    </row>
    <row r="84" spans="1:3" x14ac:dyDescent="0.3">
      <c r="A84" s="1" t="str">
        <f t="shared" si="3"/>
        <v/>
      </c>
      <c r="C84" s="1" t="str">
        <f t="shared" si="2"/>
        <v/>
      </c>
    </row>
    <row r="85" spans="1:3" x14ac:dyDescent="0.3">
      <c r="A85" s="1" t="str">
        <f t="shared" si="3"/>
        <v/>
      </c>
      <c r="C85" s="1" t="str">
        <f t="shared" si="2"/>
        <v/>
      </c>
    </row>
    <row r="86" spans="1:3" x14ac:dyDescent="0.3">
      <c r="A86" s="1" t="str">
        <f t="shared" si="3"/>
        <v/>
      </c>
      <c r="C86" s="1" t="str">
        <f t="shared" si="2"/>
        <v/>
      </c>
    </row>
    <row r="87" spans="1:3" x14ac:dyDescent="0.3">
      <c r="A87" s="1" t="str">
        <f t="shared" si="3"/>
        <v/>
      </c>
      <c r="C87" s="1" t="str">
        <f t="shared" si="2"/>
        <v/>
      </c>
    </row>
    <row r="88" spans="1:3" x14ac:dyDescent="0.3">
      <c r="A88" s="1" t="str">
        <f t="shared" si="3"/>
        <v/>
      </c>
      <c r="C88" s="1" t="str">
        <f t="shared" si="2"/>
        <v/>
      </c>
    </row>
    <row r="89" spans="1:3" x14ac:dyDescent="0.3">
      <c r="A89" s="1" t="str">
        <f t="shared" si="3"/>
        <v/>
      </c>
      <c r="C89" s="1" t="str">
        <f t="shared" si="2"/>
        <v/>
      </c>
    </row>
    <row r="90" spans="1:3" x14ac:dyDescent="0.3">
      <c r="A90" s="1" t="str">
        <f t="shared" si="3"/>
        <v/>
      </c>
      <c r="C90" s="1" t="str">
        <f t="shared" si="2"/>
        <v/>
      </c>
    </row>
    <row r="91" spans="1:3" x14ac:dyDescent="0.3">
      <c r="A91" s="1" t="str">
        <f t="shared" si="3"/>
        <v/>
      </c>
      <c r="C91" s="1" t="str">
        <f t="shared" si="2"/>
        <v/>
      </c>
    </row>
    <row r="92" spans="1:3" x14ac:dyDescent="0.3">
      <c r="A92" s="1" t="str">
        <f t="shared" si="3"/>
        <v/>
      </c>
      <c r="C92" s="1" t="str">
        <f t="shared" si="2"/>
        <v/>
      </c>
    </row>
    <row r="93" spans="1:3" x14ac:dyDescent="0.3">
      <c r="A93" s="1" t="str">
        <f t="shared" si="3"/>
        <v/>
      </c>
      <c r="C93" s="1" t="str">
        <f t="shared" si="2"/>
        <v/>
      </c>
    </row>
    <row r="94" spans="1:3" x14ac:dyDescent="0.3">
      <c r="A94" s="1" t="str">
        <f t="shared" si="3"/>
        <v/>
      </c>
      <c r="C94" s="1" t="str">
        <f t="shared" si="2"/>
        <v/>
      </c>
    </row>
    <row r="95" spans="1:3" x14ac:dyDescent="0.3">
      <c r="A95" s="1" t="str">
        <f t="shared" si="3"/>
        <v/>
      </c>
      <c r="C95" s="1" t="str">
        <f t="shared" si="2"/>
        <v/>
      </c>
    </row>
    <row r="96" spans="1:3" x14ac:dyDescent="0.3">
      <c r="A96" s="1" t="str">
        <f t="shared" si="3"/>
        <v/>
      </c>
      <c r="C96" s="1" t="str">
        <f t="shared" si="2"/>
        <v/>
      </c>
    </row>
    <row r="97" spans="1:3" x14ac:dyDescent="0.3">
      <c r="A97" s="1" t="str">
        <f t="shared" si="3"/>
        <v/>
      </c>
      <c r="C97" s="1" t="str">
        <f t="shared" si="2"/>
        <v/>
      </c>
    </row>
    <row r="98" spans="1:3" x14ac:dyDescent="0.3">
      <c r="A98" s="1" t="str">
        <f t="shared" si="3"/>
        <v/>
      </c>
      <c r="C98" s="1" t="str">
        <f t="shared" si="2"/>
        <v/>
      </c>
    </row>
    <row r="99" spans="1:3" x14ac:dyDescent="0.3">
      <c r="A99" s="1" t="str">
        <f t="shared" si="3"/>
        <v/>
      </c>
      <c r="C99" s="1" t="str">
        <f t="shared" si="2"/>
        <v/>
      </c>
    </row>
    <row r="100" spans="1:3" x14ac:dyDescent="0.3">
      <c r="A100" s="1" t="str">
        <f t="shared" si="3"/>
        <v/>
      </c>
      <c r="C100" s="1" t="str">
        <f t="shared" si="2"/>
        <v/>
      </c>
    </row>
    <row r="101" spans="1:3" x14ac:dyDescent="0.3">
      <c r="A101" s="1" t="str">
        <f t="shared" si="3"/>
        <v/>
      </c>
      <c r="C101" s="1" t="str">
        <f t="shared" si="2"/>
        <v/>
      </c>
    </row>
    <row r="102" spans="1:3" x14ac:dyDescent="0.3">
      <c r="A102" s="1" t="str">
        <f t="shared" si="3"/>
        <v/>
      </c>
      <c r="C102" s="1" t="str">
        <f t="shared" si="2"/>
        <v/>
      </c>
    </row>
    <row r="103" spans="1:3" x14ac:dyDescent="0.3">
      <c r="A103" s="1" t="str">
        <f t="shared" si="3"/>
        <v/>
      </c>
      <c r="C103" s="1" t="str">
        <f t="shared" si="2"/>
        <v/>
      </c>
    </row>
    <row r="104" spans="1:3" x14ac:dyDescent="0.3">
      <c r="A104" s="1" t="str">
        <f t="shared" si="3"/>
        <v/>
      </c>
      <c r="C104" s="1" t="str">
        <f t="shared" si="2"/>
        <v/>
      </c>
    </row>
    <row r="105" spans="1:3" x14ac:dyDescent="0.3">
      <c r="A105" s="1" t="str">
        <f t="shared" si="3"/>
        <v/>
      </c>
      <c r="C105" s="1" t="str">
        <f t="shared" si="2"/>
        <v/>
      </c>
    </row>
    <row r="106" spans="1:3" x14ac:dyDescent="0.3">
      <c r="A106" s="1" t="str">
        <f t="shared" si="3"/>
        <v/>
      </c>
      <c r="C106" s="1" t="str">
        <f t="shared" si="2"/>
        <v/>
      </c>
    </row>
    <row r="107" spans="1:3" x14ac:dyDescent="0.3">
      <c r="A107" s="1" t="str">
        <f t="shared" si="3"/>
        <v/>
      </c>
      <c r="C107" s="1" t="str">
        <f t="shared" si="2"/>
        <v/>
      </c>
    </row>
    <row r="108" spans="1:3" x14ac:dyDescent="0.3">
      <c r="A108" s="1" t="str">
        <f t="shared" si="3"/>
        <v/>
      </c>
      <c r="C108" s="1" t="str">
        <f t="shared" si="2"/>
        <v/>
      </c>
    </row>
    <row r="109" spans="1:3" x14ac:dyDescent="0.3">
      <c r="A109" s="1" t="str">
        <f t="shared" si="3"/>
        <v/>
      </c>
      <c r="C109" s="1" t="str">
        <f t="shared" si="2"/>
        <v/>
      </c>
    </row>
    <row r="110" spans="1:3" x14ac:dyDescent="0.3">
      <c r="A110" s="1" t="str">
        <f t="shared" si="3"/>
        <v/>
      </c>
      <c r="C110" s="1" t="str">
        <f t="shared" si="2"/>
        <v/>
      </c>
    </row>
    <row r="111" spans="1:3" x14ac:dyDescent="0.3">
      <c r="A111" s="1" t="str">
        <f t="shared" si="3"/>
        <v/>
      </c>
      <c r="C111" s="1" t="str">
        <f t="shared" si="2"/>
        <v/>
      </c>
    </row>
    <row r="112" spans="1:3" x14ac:dyDescent="0.3">
      <c r="A112" s="1" t="str">
        <f t="shared" si="3"/>
        <v/>
      </c>
      <c r="C112" s="1" t="str">
        <f t="shared" si="2"/>
        <v/>
      </c>
    </row>
    <row r="113" spans="1:3" x14ac:dyDescent="0.3">
      <c r="A113" s="1" t="str">
        <f t="shared" si="3"/>
        <v/>
      </c>
      <c r="C113" s="1" t="str">
        <f t="shared" si="2"/>
        <v/>
      </c>
    </row>
    <row r="114" spans="1:3" x14ac:dyDescent="0.3">
      <c r="A114" s="1" t="str">
        <f t="shared" si="3"/>
        <v/>
      </c>
      <c r="C114" s="1" t="str">
        <f t="shared" si="2"/>
        <v/>
      </c>
    </row>
    <row r="115" spans="1:3" x14ac:dyDescent="0.3">
      <c r="A115" s="1" t="str">
        <f t="shared" si="3"/>
        <v/>
      </c>
      <c r="C115" s="1" t="str">
        <f t="shared" si="2"/>
        <v/>
      </c>
    </row>
    <row r="116" spans="1:3" x14ac:dyDescent="0.3">
      <c r="A116" s="1" t="str">
        <f t="shared" si="3"/>
        <v/>
      </c>
      <c r="C116" s="1" t="str">
        <f t="shared" si="2"/>
        <v/>
      </c>
    </row>
    <row r="117" spans="1:3" x14ac:dyDescent="0.3">
      <c r="A117" s="1" t="str">
        <f t="shared" si="3"/>
        <v/>
      </c>
      <c r="C117" s="1" t="str">
        <f t="shared" si="2"/>
        <v/>
      </c>
    </row>
    <row r="118" spans="1:3" x14ac:dyDescent="0.3">
      <c r="A118" s="1" t="str">
        <f t="shared" si="3"/>
        <v/>
      </c>
      <c r="C118" s="1" t="str">
        <f t="shared" si="2"/>
        <v/>
      </c>
    </row>
    <row r="119" spans="1:3" x14ac:dyDescent="0.3">
      <c r="A119" s="1" t="str">
        <f t="shared" si="3"/>
        <v/>
      </c>
      <c r="C119" s="1" t="str">
        <f t="shared" si="2"/>
        <v/>
      </c>
    </row>
    <row r="120" spans="1:3" x14ac:dyDescent="0.3">
      <c r="A120" s="1" t="str">
        <f t="shared" si="3"/>
        <v/>
      </c>
      <c r="C120" s="1" t="str">
        <f t="shared" si="2"/>
        <v/>
      </c>
    </row>
    <row r="121" spans="1:3" x14ac:dyDescent="0.3">
      <c r="A121" s="1" t="str">
        <f t="shared" si="3"/>
        <v/>
      </c>
      <c r="C121" s="1" t="str">
        <f t="shared" si="2"/>
        <v/>
      </c>
    </row>
    <row r="122" spans="1:3" x14ac:dyDescent="0.3">
      <c r="A122" s="1" t="str">
        <f t="shared" si="3"/>
        <v/>
      </c>
      <c r="C122" s="1" t="str">
        <f t="shared" si="2"/>
        <v/>
      </c>
    </row>
    <row r="123" spans="1:3" x14ac:dyDescent="0.3">
      <c r="A123" s="1" t="str">
        <f t="shared" si="3"/>
        <v/>
      </c>
      <c r="C123" s="1" t="str">
        <f t="shared" si="2"/>
        <v/>
      </c>
    </row>
    <row r="124" spans="1:3" x14ac:dyDescent="0.3">
      <c r="A124" s="1" t="str">
        <f t="shared" si="3"/>
        <v/>
      </c>
      <c r="C124" s="1" t="str">
        <f t="shared" si="2"/>
        <v/>
      </c>
    </row>
    <row r="125" spans="1:3" x14ac:dyDescent="0.3">
      <c r="A125" s="1" t="str">
        <f t="shared" si="3"/>
        <v/>
      </c>
      <c r="C125" s="1" t="str">
        <f t="shared" si="2"/>
        <v/>
      </c>
    </row>
    <row r="126" spans="1:3" x14ac:dyDescent="0.3">
      <c r="A126" s="1" t="str">
        <f t="shared" si="3"/>
        <v/>
      </c>
      <c r="C126" s="1" t="str">
        <f t="shared" si="2"/>
        <v/>
      </c>
    </row>
    <row r="127" spans="1:3" x14ac:dyDescent="0.3">
      <c r="A127" s="1" t="str">
        <f t="shared" si="3"/>
        <v/>
      </c>
      <c r="C127" s="1" t="str">
        <f t="shared" si="2"/>
        <v/>
      </c>
    </row>
    <row r="128" spans="1:3" x14ac:dyDescent="0.3">
      <c r="A128" s="1" t="str">
        <f t="shared" si="3"/>
        <v/>
      </c>
      <c r="C128" s="1" t="str">
        <f t="shared" si="2"/>
        <v/>
      </c>
    </row>
    <row r="129" spans="1:3" x14ac:dyDescent="0.3">
      <c r="A129" s="1" t="str">
        <f t="shared" si="3"/>
        <v/>
      </c>
      <c r="C129" s="1" t="str">
        <f t="shared" si="2"/>
        <v/>
      </c>
    </row>
    <row r="130" spans="1:3" x14ac:dyDescent="0.3">
      <c r="A130" s="1" t="str">
        <f t="shared" si="3"/>
        <v/>
      </c>
      <c r="C130" s="1" t="str">
        <f t="shared" ref="C130:C193" si="4">IF(LEN(IFERROR(VLOOKUP(B130,Reqs_and_Explanation,3,FALSE),""))&lt;3,"",IFERROR(VLOOKUP(B130,Reqs_and_Explanation,3,FALSE),""))</f>
        <v/>
      </c>
    </row>
    <row r="131" spans="1:3" x14ac:dyDescent="0.3">
      <c r="A131" s="1" t="str">
        <f t="shared" ref="A131:A194" si="5">IF(ISBLANK(B131),"","E"&amp;TEXT(ROW()-1,"000"))</f>
        <v/>
      </c>
      <c r="C131" s="1" t="str">
        <f t="shared" si="4"/>
        <v/>
      </c>
    </row>
    <row r="132" spans="1:3" x14ac:dyDescent="0.3">
      <c r="A132" s="1" t="str">
        <f t="shared" si="5"/>
        <v/>
      </c>
      <c r="C132" s="1" t="str">
        <f t="shared" si="4"/>
        <v/>
      </c>
    </row>
    <row r="133" spans="1:3" x14ac:dyDescent="0.3">
      <c r="A133" s="1" t="str">
        <f t="shared" si="5"/>
        <v/>
      </c>
      <c r="C133" s="1" t="str">
        <f t="shared" si="4"/>
        <v/>
      </c>
    </row>
    <row r="134" spans="1:3" x14ac:dyDescent="0.3">
      <c r="A134" s="1" t="str">
        <f t="shared" si="5"/>
        <v/>
      </c>
      <c r="C134" s="1" t="str">
        <f t="shared" si="4"/>
        <v/>
      </c>
    </row>
    <row r="135" spans="1:3" x14ac:dyDescent="0.3">
      <c r="A135" s="1" t="str">
        <f t="shared" si="5"/>
        <v/>
      </c>
      <c r="C135" s="1" t="str">
        <f t="shared" si="4"/>
        <v/>
      </c>
    </row>
    <row r="136" spans="1:3" x14ac:dyDescent="0.3">
      <c r="A136" s="1" t="str">
        <f t="shared" si="5"/>
        <v/>
      </c>
      <c r="C136" s="1" t="str">
        <f t="shared" si="4"/>
        <v/>
      </c>
    </row>
    <row r="137" spans="1:3" x14ac:dyDescent="0.3">
      <c r="A137" s="1" t="str">
        <f t="shared" si="5"/>
        <v/>
      </c>
      <c r="C137" s="1" t="str">
        <f t="shared" si="4"/>
        <v/>
      </c>
    </row>
    <row r="138" spans="1:3" x14ac:dyDescent="0.3">
      <c r="A138" s="1" t="str">
        <f t="shared" si="5"/>
        <v/>
      </c>
      <c r="C138" s="1" t="str">
        <f t="shared" si="4"/>
        <v/>
      </c>
    </row>
    <row r="139" spans="1:3" x14ac:dyDescent="0.3">
      <c r="A139" s="1" t="str">
        <f t="shared" si="5"/>
        <v/>
      </c>
      <c r="C139" s="1" t="str">
        <f t="shared" si="4"/>
        <v/>
      </c>
    </row>
    <row r="140" spans="1:3" x14ac:dyDescent="0.3">
      <c r="A140" s="1" t="str">
        <f t="shared" si="5"/>
        <v/>
      </c>
      <c r="C140" s="1" t="str">
        <f t="shared" si="4"/>
        <v/>
      </c>
    </row>
    <row r="141" spans="1:3" x14ac:dyDescent="0.3">
      <c r="A141" s="1" t="str">
        <f t="shared" si="5"/>
        <v/>
      </c>
      <c r="C141" s="1" t="str">
        <f t="shared" si="4"/>
        <v/>
      </c>
    </row>
    <row r="142" spans="1:3" x14ac:dyDescent="0.3">
      <c r="A142" s="1" t="str">
        <f t="shared" si="5"/>
        <v/>
      </c>
      <c r="C142" s="1" t="str">
        <f t="shared" si="4"/>
        <v/>
      </c>
    </row>
    <row r="143" spans="1:3" x14ac:dyDescent="0.3">
      <c r="A143" s="1" t="str">
        <f t="shared" si="5"/>
        <v/>
      </c>
      <c r="C143" s="1" t="str">
        <f t="shared" si="4"/>
        <v/>
      </c>
    </row>
    <row r="144" spans="1:3" x14ac:dyDescent="0.3">
      <c r="A144" s="1" t="str">
        <f t="shared" si="5"/>
        <v/>
      </c>
      <c r="C144" s="1" t="str">
        <f t="shared" si="4"/>
        <v/>
      </c>
    </row>
    <row r="145" spans="1:3" x14ac:dyDescent="0.3">
      <c r="A145" s="1" t="str">
        <f t="shared" si="5"/>
        <v/>
      </c>
      <c r="C145" s="1" t="str">
        <f t="shared" si="4"/>
        <v/>
      </c>
    </row>
    <row r="146" spans="1:3" x14ac:dyDescent="0.3">
      <c r="A146" s="1" t="str">
        <f t="shared" si="5"/>
        <v/>
      </c>
      <c r="C146" s="1" t="str">
        <f t="shared" si="4"/>
        <v/>
      </c>
    </row>
    <row r="147" spans="1:3" x14ac:dyDescent="0.3">
      <c r="A147" s="1" t="str">
        <f t="shared" si="5"/>
        <v/>
      </c>
      <c r="C147" s="1" t="str">
        <f t="shared" si="4"/>
        <v/>
      </c>
    </row>
    <row r="148" spans="1:3" x14ac:dyDescent="0.3">
      <c r="A148" s="1" t="str">
        <f t="shared" si="5"/>
        <v/>
      </c>
      <c r="C148" s="1" t="str">
        <f t="shared" si="4"/>
        <v/>
      </c>
    </row>
    <row r="149" spans="1:3" x14ac:dyDescent="0.3">
      <c r="A149" s="1" t="str">
        <f t="shared" si="5"/>
        <v/>
      </c>
      <c r="C149" s="1" t="str">
        <f t="shared" si="4"/>
        <v/>
      </c>
    </row>
    <row r="150" spans="1:3" x14ac:dyDescent="0.3">
      <c r="A150" s="1" t="str">
        <f t="shared" si="5"/>
        <v/>
      </c>
      <c r="C150" s="1" t="str">
        <f t="shared" si="4"/>
        <v/>
      </c>
    </row>
    <row r="151" spans="1:3" x14ac:dyDescent="0.3">
      <c r="A151" s="1" t="str">
        <f t="shared" si="5"/>
        <v/>
      </c>
      <c r="C151" s="1" t="str">
        <f t="shared" si="4"/>
        <v/>
      </c>
    </row>
    <row r="152" spans="1:3" x14ac:dyDescent="0.3">
      <c r="A152" s="1" t="str">
        <f t="shared" si="5"/>
        <v/>
      </c>
      <c r="C152" s="1" t="str">
        <f t="shared" si="4"/>
        <v/>
      </c>
    </row>
    <row r="153" spans="1:3" x14ac:dyDescent="0.3">
      <c r="A153" s="1" t="str">
        <f t="shared" si="5"/>
        <v/>
      </c>
      <c r="C153" s="1" t="str">
        <f t="shared" si="4"/>
        <v/>
      </c>
    </row>
    <row r="154" spans="1:3" x14ac:dyDescent="0.3">
      <c r="A154" s="1" t="str">
        <f t="shared" si="5"/>
        <v/>
      </c>
      <c r="C154" s="1" t="str">
        <f t="shared" si="4"/>
        <v/>
      </c>
    </row>
    <row r="155" spans="1:3" x14ac:dyDescent="0.3">
      <c r="A155" s="1" t="str">
        <f t="shared" si="5"/>
        <v/>
      </c>
      <c r="C155" s="1" t="str">
        <f t="shared" si="4"/>
        <v/>
      </c>
    </row>
    <row r="156" spans="1:3" x14ac:dyDescent="0.3">
      <c r="A156" s="1" t="str">
        <f t="shared" si="5"/>
        <v/>
      </c>
      <c r="C156" s="1" t="str">
        <f t="shared" si="4"/>
        <v/>
      </c>
    </row>
    <row r="157" spans="1:3" x14ac:dyDescent="0.3">
      <c r="A157" s="1" t="str">
        <f t="shared" si="5"/>
        <v/>
      </c>
      <c r="C157" s="1" t="str">
        <f t="shared" si="4"/>
        <v/>
      </c>
    </row>
    <row r="158" spans="1:3" x14ac:dyDescent="0.3">
      <c r="A158" s="1" t="str">
        <f t="shared" si="5"/>
        <v/>
      </c>
      <c r="C158" s="1" t="str">
        <f t="shared" si="4"/>
        <v/>
      </c>
    </row>
    <row r="159" spans="1:3" x14ac:dyDescent="0.3">
      <c r="A159" s="1" t="str">
        <f t="shared" si="5"/>
        <v/>
      </c>
      <c r="C159" s="1" t="str">
        <f t="shared" si="4"/>
        <v/>
      </c>
    </row>
    <row r="160" spans="1:3" x14ac:dyDescent="0.3">
      <c r="A160" s="1" t="str">
        <f t="shared" si="5"/>
        <v/>
      </c>
      <c r="C160" s="1" t="str">
        <f t="shared" si="4"/>
        <v/>
      </c>
    </row>
    <row r="161" spans="1:3" x14ac:dyDescent="0.3">
      <c r="A161" s="1" t="str">
        <f t="shared" si="5"/>
        <v/>
      </c>
      <c r="C161" s="1" t="str">
        <f t="shared" si="4"/>
        <v/>
      </c>
    </row>
    <row r="162" spans="1:3" x14ac:dyDescent="0.3">
      <c r="A162" s="1" t="str">
        <f t="shared" si="5"/>
        <v/>
      </c>
      <c r="C162" s="1" t="str">
        <f t="shared" si="4"/>
        <v/>
      </c>
    </row>
    <row r="163" spans="1:3" x14ac:dyDescent="0.3">
      <c r="A163" s="1" t="str">
        <f t="shared" si="5"/>
        <v/>
      </c>
      <c r="C163" s="1" t="str">
        <f t="shared" si="4"/>
        <v/>
      </c>
    </row>
    <row r="164" spans="1:3" x14ac:dyDescent="0.3">
      <c r="A164" s="1" t="str">
        <f t="shared" si="5"/>
        <v/>
      </c>
      <c r="C164" s="1" t="str">
        <f t="shared" si="4"/>
        <v/>
      </c>
    </row>
    <row r="165" spans="1:3" x14ac:dyDescent="0.3">
      <c r="A165" s="1" t="str">
        <f t="shared" si="5"/>
        <v/>
      </c>
      <c r="C165" s="1" t="str">
        <f t="shared" si="4"/>
        <v/>
      </c>
    </row>
    <row r="166" spans="1:3" x14ac:dyDescent="0.3">
      <c r="A166" s="1" t="str">
        <f t="shared" si="5"/>
        <v/>
      </c>
      <c r="C166" s="1" t="str">
        <f t="shared" si="4"/>
        <v/>
      </c>
    </row>
    <row r="167" spans="1:3" x14ac:dyDescent="0.3">
      <c r="A167" s="1" t="str">
        <f t="shared" si="5"/>
        <v/>
      </c>
      <c r="C167" s="1" t="str">
        <f t="shared" si="4"/>
        <v/>
      </c>
    </row>
    <row r="168" spans="1:3" x14ac:dyDescent="0.3">
      <c r="A168" s="1" t="str">
        <f t="shared" si="5"/>
        <v/>
      </c>
      <c r="C168" s="1" t="str">
        <f t="shared" si="4"/>
        <v/>
      </c>
    </row>
    <row r="169" spans="1:3" x14ac:dyDescent="0.3">
      <c r="A169" s="1" t="str">
        <f t="shared" si="5"/>
        <v/>
      </c>
      <c r="C169" s="1" t="str">
        <f t="shared" si="4"/>
        <v/>
      </c>
    </row>
    <row r="170" spans="1:3" x14ac:dyDescent="0.3">
      <c r="A170" s="1" t="str">
        <f t="shared" si="5"/>
        <v/>
      </c>
      <c r="C170" s="1" t="str">
        <f t="shared" si="4"/>
        <v/>
      </c>
    </row>
    <row r="171" spans="1:3" x14ac:dyDescent="0.3">
      <c r="A171" s="1" t="str">
        <f t="shared" si="5"/>
        <v/>
      </c>
      <c r="C171" s="1" t="str">
        <f t="shared" si="4"/>
        <v/>
      </c>
    </row>
    <row r="172" spans="1:3" x14ac:dyDescent="0.3">
      <c r="A172" s="1" t="str">
        <f t="shared" si="5"/>
        <v/>
      </c>
      <c r="C172" s="1" t="str">
        <f t="shared" si="4"/>
        <v/>
      </c>
    </row>
    <row r="173" spans="1:3" x14ac:dyDescent="0.3">
      <c r="A173" s="1" t="str">
        <f t="shared" si="5"/>
        <v/>
      </c>
      <c r="C173" s="1" t="str">
        <f t="shared" si="4"/>
        <v/>
      </c>
    </row>
    <row r="174" spans="1:3" x14ac:dyDescent="0.3">
      <c r="A174" s="1" t="str">
        <f t="shared" si="5"/>
        <v/>
      </c>
      <c r="C174" s="1" t="str">
        <f t="shared" si="4"/>
        <v/>
      </c>
    </row>
    <row r="175" spans="1:3" x14ac:dyDescent="0.3">
      <c r="A175" s="1" t="str">
        <f t="shared" si="5"/>
        <v/>
      </c>
      <c r="C175" s="1" t="str">
        <f t="shared" si="4"/>
        <v/>
      </c>
    </row>
    <row r="176" spans="1:3" x14ac:dyDescent="0.3">
      <c r="A176" s="1" t="str">
        <f t="shared" si="5"/>
        <v/>
      </c>
      <c r="C176" s="1" t="str">
        <f t="shared" si="4"/>
        <v/>
      </c>
    </row>
    <row r="177" spans="1:3" x14ac:dyDescent="0.3">
      <c r="A177" s="1" t="str">
        <f t="shared" si="5"/>
        <v/>
      </c>
      <c r="C177" s="1" t="str">
        <f t="shared" si="4"/>
        <v/>
      </c>
    </row>
    <row r="178" spans="1:3" x14ac:dyDescent="0.3">
      <c r="A178" s="1" t="str">
        <f t="shared" si="5"/>
        <v/>
      </c>
      <c r="C178" s="1" t="str">
        <f t="shared" si="4"/>
        <v/>
      </c>
    </row>
    <row r="179" spans="1:3" x14ac:dyDescent="0.3">
      <c r="A179" s="1" t="str">
        <f t="shared" si="5"/>
        <v/>
      </c>
      <c r="C179" s="1" t="str">
        <f t="shared" si="4"/>
        <v/>
      </c>
    </row>
    <row r="180" spans="1:3" x14ac:dyDescent="0.3">
      <c r="A180" s="1" t="str">
        <f t="shared" si="5"/>
        <v/>
      </c>
      <c r="C180" s="1" t="str">
        <f t="shared" si="4"/>
        <v/>
      </c>
    </row>
    <row r="181" spans="1:3" x14ac:dyDescent="0.3">
      <c r="A181" s="1" t="str">
        <f t="shared" si="5"/>
        <v/>
      </c>
      <c r="C181" s="1" t="str">
        <f t="shared" si="4"/>
        <v/>
      </c>
    </row>
    <row r="182" spans="1:3" x14ac:dyDescent="0.3">
      <c r="A182" s="1" t="str">
        <f t="shared" si="5"/>
        <v/>
      </c>
      <c r="C182" s="1" t="str">
        <f t="shared" si="4"/>
        <v/>
      </c>
    </row>
    <row r="183" spans="1:3" x14ac:dyDescent="0.3">
      <c r="A183" s="1" t="str">
        <f t="shared" si="5"/>
        <v/>
      </c>
      <c r="C183" s="1" t="str">
        <f t="shared" si="4"/>
        <v/>
      </c>
    </row>
    <row r="184" spans="1:3" x14ac:dyDescent="0.3">
      <c r="A184" s="1" t="str">
        <f t="shared" si="5"/>
        <v/>
      </c>
      <c r="C184" s="1" t="str">
        <f t="shared" si="4"/>
        <v/>
      </c>
    </row>
    <row r="185" spans="1:3" x14ac:dyDescent="0.3">
      <c r="A185" s="1" t="str">
        <f t="shared" si="5"/>
        <v/>
      </c>
      <c r="C185" s="1" t="str">
        <f t="shared" si="4"/>
        <v/>
      </c>
    </row>
    <row r="186" spans="1:3" x14ac:dyDescent="0.3">
      <c r="A186" s="1" t="str">
        <f t="shared" si="5"/>
        <v/>
      </c>
      <c r="C186" s="1" t="str">
        <f t="shared" si="4"/>
        <v/>
      </c>
    </row>
    <row r="187" spans="1:3" x14ac:dyDescent="0.3">
      <c r="A187" s="1" t="str">
        <f t="shared" si="5"/>
        <v/>
      </c>
      <c r="C187" s="1" t="str">
        <f t="shared" si="4"/>
        <v/>
      </c>
    </row>
    <row r="188" spans="1:3" x14ac:dyDescent="0.3">
      <c r="A188" s="1" t="str">
        <f t="shared" si="5"/>
        <v/>
      </c>
      <c r="C188" s="1" t="str">
        <f t="shared" si="4"/>
        <v/>
      </c>
    </row>
    <row r="189" spans="1:3" x14ac:dyDescent="0.3">
      <c r="A189" s="1" t="str">
        <f t="shared" si="5"/>
        <v/>
      </c>
      <c r="C189" s="1" t="str">
        <f t="shared" si="4"/>
        <v/>
      </c>
    </row>
    <row r="190" spans="1:3" x14ac:dyDescent="0.3">
      <c r="A190" s="1" t="str">
        <f t="shared" si="5"/>
        <v/>
      </c>
      <c r="C190" s="1" t="str">
        <f t="shared" si="4"/>
        <v/>
      </c>
    </row>
    <row r="191" spans="1:3" x14ac:dyDescent="0.3">
      <c r="A191" s="1" t="str">
        <f t="shared" si="5"/>
        <v/>
      </c>
      <c r="C191" s="1" t="str">
        <f t="shared" si="4"/>
        <v/>
      </c>
    </row>
    <row r="192" spans="1:3" x14ac:dyDescent="0.3">
      <c r="A192" s="1" t="str">
        <f t="shared" si="5"/>
        <v/>
      </c>
      <c r="C192" s="1" t="str">
        <f t="shared" si="4"/>
        <v/>
      </c>
    </row>
    <row r="193" spans="1:3" x14ac:dyDescent="0.3">
      <c r="A193" s="1" t="str">
        <f t="shared" si="5"/>
        <v/>
      </c>
      <c r="C193" s="1" t="str">
        <f t="shared" si="4"/>
        <v/>
      </c>
    </row>
    <row r="194" spans="1:3" x14ac:dyDescent="0.3">
      <c r="A194" s="1" t="str">
        <f t="shared" si="5"/>
        <v/>
      </c>
      <c r="C194" s="1" t="str">
        <f t="shared" ref="C194:C257" si="6">IF(LEN(IFERROR(VLOOKUP(B194,Reqs_and_Explanation,3,FALSE),""))&lt;3,"",IFERROR(VLOOKUP(B194,Reqs_and_Explanation,3,FALSE),""))</f>
        <v/>
      </c>
    </row>
    <row r="195" spans="1:3" x14ac:dyDescent="0.3">
      <c r="A195" s="1" t="str">
        <f t="shared" ref="A195:A258" si="7">IF(ISBLANK(B195),"","E"&amp;TEXT(ROW()-1,"000"))</f>
        <v/>
      </c>
      <c r="C195" s="1" t="str">
        <f t="shared" si="6"/>
        <v/>
      </c>
    </row>
    <row r="196" spans="1:3" x14ac:dyDescent="0.3">
      <c r="A196" s="1" t="str">
        <f t="shared" si="7"/>
        <v/>
      </c>
      <c r="C196" s="1" t="str">
        <f t="shared" si="6"/>
        <v/>
      </c>
    </row>
    <row r="197" spans="1:3" x14ac:dyDescent="0.3">
      <c r="A197" s="1" t="str">
        <f t="shared" si="7"/>
        <v/>
      </c>
      <c r="C197" s="1" t="str">
        <f t="shared" si="6"/>
        <v/>
      </c>
    </row>
    <row r="198" spans="1:3" x14ac:dyDescent="0.3">
      <c r="A198" s="1" t="str">
        <f t="shared" si="7"/>
        <v/>
      </c>
      <c r="C198" s="1" t="str">
        <f t="shared" si="6"/>
        <v/>
      </c>
    </row>
    <row r="199" spans="1:3" x14ac:dyDescent="0.3">
      <c r="A199" s="1" t="str">
        <f t="shared" si="7"/>
        <v/>
      </c>
      <c r="C199" s="1" t="str">
        <f t="shared" si="6"/>
        <v/>
      </c>
    </row>
    <row r="200" spans="1:3" x14ac:dyDescent="0.3">
      <c r="A200" s="1" t="str">
        <f t="shared" si="7"/>
        <v/>
      </c>
      <c r="C200" s="1" t="str">
        <f t="shared" si="6"/>
        <v/>
      </c>
    </row>
    <row r="201" spans="1:3" x14ac:dyDescent="0.3">
      <c r="A201" s="1" t="str">
        <f t="shared" si="7"/>
        <v/>
      </c>
      <c r="C201" s="1" t="str">
        <f t="shared" si="6"/>
        <v/>
      </c>
    </row>
    <row r="202" spans="1:3" x14ac:dyDescent="0.3">
      <c r="A202" s="1" t="str">
        <f t="shared" si="7"/>
        <v/>
      </c>
      <c r="C202" s="1" t="str">
        <f t="shared" si="6"/>
        <v/>
      </c>
    </row>
    <row r="203" spans="1:3" x14ac:dyDescent="0.3">
      <c r="A203" s="1" t="str">
        <f t="shared" si="7"/>
        <v/>
      </c>
      <c r="C203" s="1" t="str">
        <f t="shared" si="6"/>
        <v/>
      </c>
    </row>
    <row r="204" spans="1:3" x14ac:dyDescent="0.3">
      <c r="A204" s="1" t="str">
        <f t="shared" si="7"/>
        <v/>
      </c>
      <c r="C204" s="1" t="str">
        <f t="shared" si="6"/>
        <v/>
      </c>
    </row>
    <row r="205" spans="1:3" x14ac:dyDescent="0.3">
      <c r="A205" s="1" t="str">
        <f t="shared" si="7"/>
        <v/>
      </c>
      <c r="C205" s="1" t="str">
        <f t="shared" si="6"/>
        <v/>
      </c>
    </row>
    <row r="206" spans="1:3" x14ac:dyDescent="0.3">
      <c r="A206" s="1" t="str">
        <f t="shared" si="7"/>
        <v/>
      </c>
      <c r="C206" s="1" t="str">
        <f t="shared" si="6"/>
        <v/>
      </c>
    </row>
    <row r="207" spans="1:3" x14ac:dyDescent="0.3">
      <c r="A207" s="1" t="str">
        <f t="shared" si="7"/>
        <v/>
      </c>
      <c r="C207" s="1" t="str">
        <f t="shared" si="6"/>
        <v/>
      </c>
    </row>
    <row r="208" spans="1:3" x14ac:dyDescent="0.3">
      <c r="A208" s="1" t="str">
        <f t="shared" si="7"/>
        <v/>
      </c>
      <c r="C208" s="1" t="str">
        <f t="shared" si="6"/>
        <v/>
      </c>
    </row>
    <row r="209" spans="1:3" x14ac:dyDescent="0.3">
      <c r="A209" s="1" t="str">
        <f t="shared" si="7"/>
        <v/>
      </c>
      <c r="C209" s="1" t="str">
        <f t="shared" si="6"/>
        <v/>
      </c>
    </row>
    <row r="210" spans="1:3" x14ac:dyDescent="0.3">
      <c r="A210" s="1" t="str">
        <f t="shared" si="7"/>
        <v/>
      </c>
      <c r="C210" s="1" t="str">
        <f t="shared" si="6"/>
        <v/>
      </c>
    </row>
    <row r="211" spans="1:3" x14ac:dyDescent="0.3">
      <c r="A211" s="1" t="str">
        <f t="shared" si="7"/>
        <v/>
      </c>
      <c r="C211" s="1" t="str">
        <f t="shared" si="6"/>
        <v/>
      </c>
    </row>
    <row r="212" spans="1:3" x14ac:dyDescent="0.3">
      <c r="A212" s="1" t="str">
        <f t="shared" si="7"/>
        <v/>
      </c>
      <c r="C212" s="1" t="str">
        <f t="shared" si="6"/>
        <v/>
      </c>
    </row>
    <row r="213" spans="1:3" x14ac:dyDescent="0.3">
      <c r="A213" s="1" t="str">
        <f t="shared" si="7"/>
        <v/>
      </c>
      <c r="C213" s="1" t="str">
        <f t="shared" si="6"/>
        <v/>
      </c>
    </row>
    <row r="214" spans="1:3" x14ac:dyDescent="0.3">
      <c r="A214" s="1" t="str">
        <f t="shared" si="7"/>
        <v/>
      </c>
      <c r="C214" s="1" t="str">
        <f t="shared" si="6"/>
        <v/>
      </c>
    </row>
    <row r="215" spans="1:3" x14ac:dyDescent="0.3">
      <c r="A215" s="1" t="str">
        <f t="shared" si="7"/>
        <v/>
      </c>
      <c r="C215" s="1" t="str">
        <f t="shared" si="6"/>
        <v/>
      </c>
    </row>
    <row r="216" spans="1:3" x14ac:dyDescent="0.3">
      <c r="A216" s="1" t="str">
        <f t="shared" si="7"/>
        <v/>
      </c>
      <c r="C216" s="1" t="str">
        <f t="shared" si="6"/>
        <v/>
      </c>
    </row>
    <row r="217" spans="1:3" x14ac:dyDescent="0.3">
      <c r="A217" s="1" t="str">
        <f t="shared" si="7"/>
        <v/>
      </c>
      <c r="C217" s="1" t="str">
        <f t="shared" si="6"/>
        <v/>
      </c>
    </row>
    <row r="218" spans="1:3" x14ac:dyDescent="0.3">
      <c r="A218" s="1" t="str">
        <f t="shared" si="7"/>
        <v/>
      </c>
      <c r="C218" s="1" t="str">
        <f t="shared" si="6"/>
        <v/>
      </c>
    </row>
    <row r="219" spans="1:3" x14ac:dyDescent="0.3">
      <c r="A219" s="1" t="str">
        <f t="shared" si="7"/>
        <v/>
      </c>
      <c r="C219" s="1" t="str">
        <f t="shared" si="6"/>
        <v/>
      </c>
    </row>
    <row r="220" spans="1:3" x14ac:dyDescent="0.3">
      <c r="A220" s="1" t="str">
        <f t="shared" si="7"/>
        <v/>
      </c>
      <c r="C220" s="1" t="str">
        <f t="shared" si="6"/>
        <v/>
      </c>
    </row>
    <row r="221" spans="1:3" x14ac:dyDescent="0.3">
      <c r="A221" s="1" t="str">
        <f t="shared" si="7"/>
        <v/>
      </c>
      <c r="C221" s="1" t="str">
        <f t="shared" si="6"/>
        <v/>
      </c>
    </row>
    <row r="222" spans="1:3" x14ac:dyDescent="0.3">
      <c r="A222" s="1" t="str">
        <f t="shared" si="7"/>
        <v/>
      </c>
      <c r="C222" s="1" t="str">
        <f t="shared" si="6"/>
        <v/>
      </c>
    </row>
    <row r="223" spans="1:3" x14ac:dyDescent="0.3">
      <c r="A223" s="1" t="str">
        <f t="shared" si="7"/>
        <v/>
      </c>
      <c r="C223" s="1" t="str">
        <f t="shared" si="6"/>
        <v/>
      </c>
    </row>
    <row r="224" spans="1:3" x14ac:dyDescent="0.3">
      <c r="A224" s="1" t="str">
        <f t="shared" si="7"/>
        <v/>
      </c>
      <c r="C224" s="1" t="str">
        <f t="shared" si="6"/>
        <v/>
      </c>
    </row>
    <row r="225" spans="1:3" x14ac:dyDescent="0.3">
      <c r="A225" s="1" t="str">
        <f t="shared" si="7"/>
        <v/>
      </c>
      <c r="C225" s="1" t="str">
        <f t="shared" si="6"/>
        <v/>
      </c>
    </row>
    <row r="226" spans="1:3" x14ac:dyDescent="0.3">
      <c r="A226" s="1" t="str">
        <f t="shared" si="7"/>
        <v/>
      </c>
      <c r="C226" s="1" t="str">
        <f t="shared" si="6"/>
        <v/>
      </c>
    </row>
    <row r="227" spans="1:3" x14ac:dyDescent="0.3">
      <c r="A227" s="1" t="str">
        <f t="shared" si="7"/>
        <v/>
      </c>
      <c r="C227" s="1" t="str">
        <f t="shared" si="6"/>
        <v/>
      </c>
    </row>
    <row r="228" spans="1:3" x14ac:dyDescent="0.3">
      <c r="A228" s="1" t="str">
        <f t="shared" si="7"/>
        <v/>
      </c>
      <c r="C228" s="1" t="str">
        <f t="shared" si="6"/>
        <v/>
      </c>
    </row>
    <row r="229" spans="1:3" x14ac:dyDescent="0.3">
      <c r="A229" s="1" t="str">
        <f t="shared" si="7"/>
        <v/>
      </c>
      <c r="C229" s="1" t="str">
        <f t="shared" si="6"/>
        <v/>
      </c>
    </row>
    <row r="230" spans="1:3" x14ac:dyDescent="0.3">
      <c r="A230" s="1" t="str">
        <f t="shared" si="7"/>
        <v/>
      </c>
      <c r="C230" s="1" t="str">
        <f t="shared" si="6"/>
        <v/>
      </c>
    </row>
    <row r="231" spans="1:3" x14ac:dyDescent="0.3">
      <c r="A231" s="1" t="str">
        <f t="shared" si="7"/>
        <v/>
      </c>
      <c r="C231" s="1" t="str">
        <f t="shared" si="6"/>
        <v/>
      </c>
    </row>
    <row r="232" spans="1:3" x14ac:dyDescent="0.3">
      <c r="A232" s="1" t="str">
        <f t="shared" si="7"/>
        <v/>
      </c>
      <c r="C232" s="1" t="str">
        <f t="shared" si="6"/>
        <v/>
      </c>
    </row>
    <row r="233" spans="1:3" x14ac:dyDescent="0.3">
      <c r="A233" s="1" t="str">
        <f t="shared" si="7"/>
        <v/>
      </c>
      <c r="C233" s="1" t="str">
        <f t="shared" si="6"/>
        <v/>
      </c>
    </row>
    <row r="234" spans="1:3" x14ac:dyDescent="0.3">
      <c r="A234" s="1" t="str">
        <f t="shared" si="7"/>
        <v/>
      </c>
      <c r="C234" s="1" t="str">
        <f t="shared" si="6"/>
        <v/>
      </c>
    </row>
    <row r="235" spans="1:3" x14ac:dyDescent="0.3">
      <c r="A235" s="1" t="str">
        <f t="shared" si="7"/>
        <v/>
      </c>
      <c r="C235" s="1" t="str">
        <f t="shared" si="6"/>
        <v/>
      </c>
    </row>
    <row r="236" spans="1:3" x14ac:dyDescent="0.3">
      <c r="A236" s="1" t="str">
        <f t="shared" si="7"/>
        <v/>
      </c>
      <c r="C236" s="1" t="str">
        <f t="shared" si="6"/>
        <v/>
      </c>
    </row>
    <row r="237" spans="1:3" x14ac:dyDescent="0.3">
      <c r="A237" s="1" t="str">
        <f t="shared" si="7"/>
        <v/>
      </c>
      <c r="C237" s="1" t="str">
        <f t="shared" si="6"/>
        <v/>
      </c>
    </row>
    <row r="238" spans="1:3" x14ac:dyDescent="0.3">
      <c r="A238" s="1" t="str">
        <f t="shared" si="7"/>
        <v/>
      </c>
      <c r="C238" s="1" t="str">
        <f t="shared" si="6"/>
        <v/>
      </c>
    </row>
    <row r="239" spans="1:3" x14ac:dyDescent="0.3">
      <c r="A239" s="1" t="str">
        <f t="shared" si="7"/>
        <v/>
      </c>
      <c r="C239" s="1" t="str">
        <f t="shared" si="6"/>
        <v/>
      </c>
    </row>
    <row r="240" spans="1:3" x14ac:dyDescent="0.3">
      <c r="A240" s="1" t="str">
        <f t="shared" si="7"/>
        <v/>
      </c>
      <c r="C240" s="1" t="str">
        <f t="shared" si="6"/>
        <v/>
      </c>
    </row>
    <row r="241" spans="1:3" x14ac:dyDescent="0.3">
      <c r="A241" s="1" t="str">
        <f t="shared" si="7"/>
        <v/>
      </c>
      <c r="C241" s="1" t="str">
        <f t="shared" si="6"/>
        <v/>
      </c>
    </row>
    <row r="242" spans="1:3" x14ac:dyDescent="0.3">
      <c r="A242" s="1" t="str">
        <f t="shared" si="7"/>
        <v/>
      </c>
      <c r="C242" s="1" t="str">
        <f t="shared" si="6"/>
        <v/>
      </c>
    </row>
    <row r="243" spans="1:3" x14ac:dyDescent="0.3">
      <c r="A243" s="1" t="str">
        <f t="shared" si="7"/>
        <v/>
      </c>
      <c r="C243" s="1" t="str">
        <f t="shared" si="6"/>
        <v/>
      </c>
    </row>
    <row r="244" spans="1:3" x14ac:dyDescent="0.3">
      <c r="A244" s="1" t="str">
        <f t="shared" si="7"/>
        <v/>
      </c>
      <c r="C244" s="1" t="str">
        <f t="shared" si="6"/>
        <v/>
      </c>
    </row>
    <row r="245" spans="1:3" x14ac:dyDescent="0.3">
      <c r="A245" s="1" t="str">
        <f t="shared" si="7"/>
        <v/>
      </c>
      <c r="C245" s="1" t="str">
        <f t="shared" si="6"/>
        <v/>
      </c>
    </row>
    <row r="246" spans="1:3" x14ac:dyDescent="0.3">
      <c r="A246" s="1" t="str">
        <f t="shared" si="7"/>
        <v/>
      </c>
      <c r="C246" s="1" t="str">
        <f t="shared" si="6"/>
        <v/>
      </c>
    </row>
    <row r="247" spans="1:3" x14ac:dyDescent="0.3">
      <c r="A247" s="1" t="str">
        <f t="shared" si="7"/>
        <v/>
      </c>
      <c r="C247" s="1" t="str">
        <f t="shared" si="6"/>
        <v/>
      </c>
    </row>
    <row r="248" spans="1:3" x14ac:dyDescent="0.3">
      <c r="A248" s="1" t="str">
        <f t="shared" si="7"/>
        <v/>
      </c>
      <c r="C248" s="1" t="str">
        <f t="shared" si="6"/>
        <v/>
      </c>
    </row>
    <row r="249" spans="1:3" x14ac:dyDescent="0.3">
      <c r="A249" s="1" t="str">
        <f t="shared" si="7"/>
        <v/>
      </c>
      <c r="C249" s="1" t="str">
        <f t="shared" si="6"/>
        <v/>
      </c>
    </row>
    <row r="250" spans="1:3" x14ac:dyDescent="0.3">
      <c r="A250" s="1" t="str">
        <f t="shared" si="7"/>
        <v/>
      </c>
      <c r="C250" s="1" t="str">
        <f t="shared" si="6"/>
        <v/>
      </c>
    </row>
    <row r="251" spans="1:3" x14ac:dyDescent="0.3">
      <c r="A251" s="1" t="str">
        <f t="shared" si="7"/>
        <v/>
      </c>
      <c r="C251" s="1" t="str">
        <f t="shared" si="6"/>
        <v/>
      </c>
    </row>
    <row r="252" spans="1:3" x14ac:dyDescent="0.3">
      <c r="A252" s="1" t="str">
        <f t="shared" si="7"/>
        <v/>
      </c>
      <c r="C252" s="1" t="str">
        <f t="shared" si="6"/>
        <v/>
      </c>
    </row>
    <row r="253" spans="1:3" x14ac:dyDescent="0.3">
      <c r="A253" s="1" t="str">
        <f t="shared" si="7"/>
        <v/>
      </c>
      <c r="C253" s="1" t="str">
        <f t="shared" si="6"/>
        <v/>
      </c>
    </row>
    <row r="254" spans="1:3" x14ac:dyDescent="0.3">
      <c r="A254" s="1" t="str">
        <f t="shared" si="7"/>
        <v/>
      </c>
      <c r="C254" s="1" t="str">
        <f t="shared" si="6"/>
        <v/>
      </c>
    </row>
    <row r="255" spans="1:3" x14ac:dyDescent="0.3">
      <c r="A255" s="1" t="str">
        <f t="shared" si="7"/>
        <v/>
      </c>
      <c r="C255" s="1" t="str">
        <f t="shared" si="6"/>
        <v/>
      </c>
    </row>
    <row r="256" spans="1:3" x14ac:dyDescent="0.3">
      <c r="A256" s="1" t="str">
        <f t="shared" si="7"/>
        <v/>
      </c>
      <c r="C256" s="1" t="str">
        <f t="shared" si="6"/>
        <v/>
      </c>
    </row>
    <row r="257" spans="1:3" x14ac:dyDescent="0.3">
      <c r="A257" s="1" t="str">
        <f t="shared" si="7"/>
        <v/>
      </c>
      <c r="C257" s="1" t="str">
        <f t="shared" si="6"/>
        <v/>
      </c>
    </row>
    <row r="258" spans="1:3" x14ac:dyDescent="0.3">
      <c r="A258" s="1" t="str">
        <f t="shared" si="7"/>
        <v/>
      </c>
      <c r="C258" s="1" t="str">
        <f t="shared" ref="C258:C281" si="8">IF(LEN(IFERROR(VLOOKUP(B258,Reqs_and_Explanation,3,FALSE),""))&lt;3,"",IFERROR(VLOOKUP(B258,Reqs_and_Explanation,3,FALSE),""))</f>
        <v/>
      </c>
    </row>
    <row r="259" spans="1:3" x14ac:dyDescent="0.3">
      <c r="A259" s="1" t="str">
        <f t="shared" ref="A259:A322" si="9">IF(ISBLANK(B259),"","E"&amp;TEXT(ROW()-1,"000"))</f>
        <v/>
      </c>
      <c r="C259" s="1" t="str">
        <f t="shared" si="8"/>
        <v/>
      </c>
    </row>
    <row r="260" spans="1:3" x14ac:dyDescent="0.3">
      <c r="A260" s="1" t="str">
        <f t="shared" si="9"/>
        <v/>
      </c>
      <c r="C260" s="1" t="str">
        <f t="shared" si="8"/>
        <v/>
      </c>
    </row>
    <row r="261" spans="1:3" x14ac:dyDescent="0.3">
      <c r="A261" s="1" t="str">
        <f t="shared" si="9"/>
        <v/>
      </c>
      <c r="C261" s="1" t="str">
        <f t="shared" si="8"/>
        <v/>
      </c>
    </row>
    <row r="262" spans="1:3" x14ac:dyDescent="0.3">
      <c r="A262" s="1" t="str">
        <f t="shared" si="9"/>
        <v/>
      </c>
      <c r="C262" s="1" t="str">
        <f t="shared" si="8"/>
        <v/>
      </c>
    </row>
    <row r="263" spans="1:3" x14ac:dyDescent="0.3">
      <c r="A263" s="1" t="str">
        <f t="shared" si="9"/>
        <v/>
      </c>
      <c r="C263" s="1" t="str">
        <f t="shared" si="8"/>
        <v/>
      </c>
    </row>
    <row r="264" spans="1:3" x14ac:dyDescent="0.3">
      <c r="A264" s="1" t="str">
        <f t="shared" si="9"/>
        <v/>
      </c>
      <c r="C264" s="1" t="str">
        <f t="shared" si="8"/>
        <v/>
      </c>
    </row>
    <row r="265" spans="1:3" x14ac:dyDescent="0.3">
      <c r="A265" s="1" t="str">
        <f t="shared" si="9"/>
        <v/>
      </c>
      <c r="C265" s="1" t="str">
        <f t="shared" si="8"/>
        <v/>
      </c>
    </row>
    <row r="266" spans="1:3" x14ac:dyDescent="0.3">
      <c r="A266" s="1" t="str">
        <f t="shared" si="9"/>
        <v/>
      </c>
      <c r="C266" s="1" t="str">
        <f t="shared" si="8"/>
        <v/>
      </c>
    </row>
    <row r="267" spans="1:3" x14ac:dyDescent="0.3">
      <c r="A267" s="1" t="str">
        <f t="shared" si="9"/>
        <v/>
      </c>
      <c r="C267" s="1" t="str">
        <f t="shared" si="8"/>
        <v/>
      </c>
    </row>
    <row r="268" spans="1:3" x14ac:dyDescent="0.3">
      <c r="A268" s="1" t="str">
        <f t="shared" si="9"/>
        <v/>
      </c>
      <c r="C268" s="1" t="str">
        <f t="shared" si="8"/>
        <v/>
      </c>
    </row>
    <row r="269" spans="1:3" x14ac:dyDescent="0.3">
      <c r="A269" s="1" t="str">
        <f t="shared" si="9"/>
        <v/>
      </c>
      <c r="C269" s="1" t="str">
        <f t="shared" si="8"/>
        <v/>
      </c>
    </row>
    <row r="270" spans="1:3" x14ac:dyDescent="0.3">
      <c r="A270" s="1" t="str">
        <f t="shared" si="9"/>
        <v/>
      </c>
      <c r="C270" s="1" t="str">
        <f t="shared" si="8"/>
        <v/>
      </c>
    </row>
    <row r="271" spans="1:3" x14ac:dyDescent="0.3">
      <c r="A271" s="1" t="str">
        <f t="shared" si="9"/>
        <v/>
      </c>
      <c r="C271" s="1" t="str">
        <f t="shared" si="8"/>
        <v/>
      </c>
    </row>
    <row r="272" spans="1:3" x14ac:dyDescent="0.3">
      <c r="A272" s="1" t="str">
        <f t="shared" si="9"/>
        <v/>
      </c>
      <c r="C272" s="1" t="str">
        <f t="shared" si="8"/>
        <v/>
      </c>
    </row>
    <row r="273" spans="1:3" x14ac:dyDescent="0.3">
      <c r="A273" s="1" t="str">
        <f t="shared" si="9"/>
        <v/>
      </c>
      <c r="C273" s="1" t="str">
        <f t="shared" si="8"/>
        <v/>
      </c>
    </row>
    <row r="274" spans="1:3" x14ac:dyDescent="0.3">
      <c r="A274" s="1" t="str">
        <f t="shared" si="9"/>
        <v/>
      </c>
      <c r="C274" s="1" t="str">
        <f t="shared" si="8"/>
        <v/>
      </c>
    </row>
    <row r="275" spans="1:3" x14ac:dyDescent="0.3">
      <c r="A275" s="1" t="str">
        <f t="shared" si="9"/>
        <v/>
      </c>
      <c r="C275" s="1" t="str">
        <f t="shared" si="8"/>
        <v/>
      </c>
    </row>
    <row r="276" spans="1:3" x14ac:dyDescent="0.3">
      <c r="A276" s="1" t="str">
        <f t="shared" si="9"/>
        <v/>
      </c>
      <c r="C276" s="1" t="str">
        <f t="shared" si="8"/>
        <v/>
      </c>
    </row>
    <row r="277" spans="1:3" x14ac:dyDescent="0.3">
      <c r="A277" s="1" t="str">
        <f t="shared" si="9"/>
        <v/>
      </c>
      <c r="C277" s="1" t="str">
        <f t="shared" si="8"/>
        <v/>
      </c>
    </row>
    <row r="278" spans="1:3" x14ac:dyDescent="0.3">
      <c r="A278" s="1" t="str">
        <f t="shared" si="9"/>
        <v/>
      </c>
      <c r="C278" s="1" t="str">
        <f t="shared" si="8"/>
        <v/>
      </c>
    </row>
    <row r="279" spans="1:3" x14ac:dyDescent="0.3">
      <c r="A279" s="1" t="str">
        <f t="shared" si="9"/>
        <v/>
      </c>
      <c r="C279" s="1" t="str">
        <f t="shared" si="8"/>
        <v/>
      </c>
    </row>
    <row r="280" spans="1:3" x14ac:dyDescent="0.3">
      <c r="A280" s="1" t="str">
        <f t="shared" si="9"/>
        <v/>
      </c>
      <c r="C280" s="1" t="str">
        <f t="shared" si="8"/>
        <v/>
      </c>
    </row>
    <row r="281" spans="1:3" x14ac:dyDescent="0.3">
      <c r="A281" s="1" t="str">
        <f t="shared" si="9"/>
        <v/>
      </c>
      <c r="C281" s="1" t="str">
        <f t="shared" si="8"/>
        <v/>
      </c>
    </row>
    <row r="282" spans="1:3" x14ac:dyDescent="0.3">
      <c r="A282" s="1" t="str">
        <f t="shared" si="9"/>
        <v/>
      </c>
    </row>
    <row r="283" spans="1:3" x14ac:dyDescent="0.3">
      <c r="A283" s="1" t="str">
        <f t="shared" si="9"/>
        <v/>
      </c>
    </row>
    <row r="284" spans="1:3" x14ac:dyDescent="0.3">
      <c r="A284" s="1" t="str">
        <f t="shared" si="9"/>
        <v/>
      </c>
    </row>
    <row r="285" spans="1:3" x14ac:dyDescent="0.3">
      <c r="A285" s="1" t="str">
        <f t="shared" si="9"/>
        <v/>
      </c>
    </row>
    <row r="286" spans="1:3" x14ac:dyDescent="0.3">
      <c r="A286" s="1" t="str">
        <f t="shared" si="9"/>
        <v/>
      </c>
    </row>
    <row r="287" spans="1:3" x14ac:dyDescent="0.3">
      <c r="A287" s="1" t="str">
        <f t="shared" si="9"/>
        <v/>
      </c>
    </row>
    <row r="288" spans="1:3" x14ac:dyDescent="0.3">
      <c r="A288" s="1" t="str">
        <f t="shared" si="9"/>
        <v/>
      </c>
    </row>
    <row r="289" spans="1:1" x14ac:dyDescent="0.3">
      <c r="A289" s="1" t="str">
        <f t="shared" si="9"/>
        <v/>
      </c>
    </row>
    <row r="290" spans="1:1" x14ac:dyDescent="0.3">
      <c r="A290" s="1" t="str">
        <f t="shared" si="9"/>
        <v/>
      </c>
    </row>
    <row r="291" spans="1:1" x14ac:dyDescent="0.3">
      <c r="A291" s="1" t="str">
        <f t="shared" si="9"/>
        <v/>
      </c>
    </row>
    <row r="292" spans="1:1" x14ac:dyDescent="0.3">
      <c r="A292" s="1" t="str">
        <f t="shared" si="9"/>
        <v/>
      </c>
    </row>
    <row r="293" spans="1:1" x14ac:dyDescent="0.3">
      <c r="A293" s="1" t="str">
        <f t="shared" si="9"/>
        <v/>
      </c>
    </row>
    <row r="294" spans="1:1" x14ac:dyDescent="0.3">
      <c r="A294" s="1" t="str">
        <f t="shared" si="9"/>
        <v/>
      </c>
    </row>
    <row r="295" spans="1:1" x14ac:dyDescent="0.3">
      <c r="A295" s="1" t="str">
        <f t="shared" si="9"/>
        <v/>
      </c>
    </row>
    <row r="296" spans="1:1" x14ac:dyDescent="0.3">
      <c r="A296" s="1" t="str">
        <f t="shared" si="9"/>
        <v/>
      </c>
    </row>
    <row r="297" spans="1:1" x14ac:dyDescent="0.3">
      <c r="A297" s="1" t="str">
        <f t="shared" si="9"/>
        <v/>
      </c>
    </row>
    <row r="298" spans="1:1" x14ac:dyDescent="0.3">
      <c r="A298" s="1" t="str">
        <f t="shared" si="9"/>
        <v/>
      </c>
    </row>
    <row r="299" spans="1:1" x14ac:dyDescent="0.3">
      <c r="A299" s="1" t="str">
        <f t="shared" si="9"/>
        <v/>
      </c>
    </row>
    <row r="300" spans="1:1" x14ac:dyDescent="0.3">
      <c r="A300" s="1" t="str">
        <f t="shared" si="9"/>
        <v/>
      </c>
    </row>
    <row r="301" spans="1:1" x14ac:dyDescent="0.3">
      <c r="A301" s="1" t="str">
        <f t="shared" si="9"/>
        <v/>
      </c>
    </row>
    <row r="302" spans="1:1" x14ac:dyDescent="0.3">
      <c r="A302" s="1" t="str">
        <f t="shared" si="9"/>
        <v/>
      </c>
    </row>
    <row r="303" spans="1:1" x14ac:dyDescent="0.3">
      <c r="A303" s="1" t="str">
        <f t="shared" si="9"/>
        <v/>
      </c>
    </row>
    <row r="304" spans="1:1" x14ac:dyDescent="0.3">
      <c r="A304" s="1" t="str">
        <f t="shared" si="9"/>
        <v/>
      </c>
    </row>
    <row r="305" spans="1:1" x14ac:dyDescent="0.3">
      <c r="A305" s="1" t="str">
        <f t="shared" si="9"/>
        <v/>
      </c>
    </row>
    <row r="306" spans="1:1" x14ac:dyDescent="0.3">
      <c r="A306" s="1" t="str">
        <f t="shared" si="9"/>
        <v/>
      </c>
    </row>
    <row r="307" spans="1:1" x14ac:dyDescent="0.3">
      <c r="A307" s="1" t="str">
        <f t="shared" si="9"/>
        <v/>
      </c>
    </row>
    <row r="308" spans="1:1" x14ac:dyDescent="0.3">
      <c r="A308" s="1" t="str">
        <f t="shared" si="9"/>
        <v/>
      </c>
    </row>
    <row r="309" spans="1:1" x14ac:dyDescent="0.3">
      <c r="A309" s="1" t="str">
        <f t="shared" si="9"/>
        <v/>
      </c>
    </row>
    <row r="310" spans="1:1" x14ac:dyDescent="0.3">
      <c r="A310" s="1" t="str">
        <f t="shared" si="9"/>
        <v/>
      </c>
    </row>
    <row r="311" spans="1:1" x14ac:dyDescent="0.3">
      <c r="A311" s="1" t="str">
        <f t="shared" si="9"/>
        <v/>
      </c>
    </row>
    <row r="312" spans="1:1" x14ac:dyDescent="0.3">
      <c r="A312" s="1" t="str">
        <f t="shared" si="9"/>
        <v/>
      </c>
    </row>
    <row r="313" spans="1:1" x14ac:dyDescent="0.3">
      <c r="A313" s="1" t="str">
        <f t="shared" si="9"/>
        <v/>
      </c>
    </row>
    <row r="314" spans="1:1" x14ac:dyDescent="0.3">
      <c r="A314" s="1" t="str">
        <f t="shared" si="9"/>
        <v/>
      </c>
    </row>
    <row r="315" spans="1:1" x14ac:dyDescent="0.3">
      <c r="A315" s="1" t="str">
        <f t="shared" si="9"/>
        <v/>
      </c>
    </row>
    <row r="316" spans="1:1" x14ac:dyDescent="0.3">
      <c r="A316" s="1" t="str">
        <f t="shared" si="9"/>
        <v/>
      </c>
    </row>
    <row r="317" spans="1:1" x14ac:dyDescent="0.3">
      <c r="A317" s="1" t="str">
        <f t="shared" si="9"/>
        <v/>
      </c>
    </row>
    <row r="318" spans="1:1" x14ac:dyDescent="0.3">
      <c r="A318" s="1" t="str">
        <f t="shared" si="9"/>
        <v/>
      </c>
    </row>
    <row r="319" spans="1:1" x14ac:dyDescent="0.3">
      <c r="A319" s="1" t="str">
        <f t="shared" si="9"/>
        <v/>
      </c>
    </row>
    <row r="320" spans="1:1" x14ac:dyDescent="0.3">
      <c r="A320" s="1" t="str">
        <f t="shared" si="9"/>
        <v/>
      </c>
    </row>
    <row r="321" spans="1:1" x14ac:dyDescent="0.3">
      <c r="A321" s="1" t="str">
        <f t="shared" si="9"/>
        <v/>
      </c>
    </row>
    <row r="322" spans="1:1" x14ac:dyDescent="0.3">
      <c r="A322" s="1" t="str">
        <f t="shared" si="9"/>
        <v/>
      </c>
    </row>
    <row r="323" spans="1:1" x14ac:dyDescent="0.3">
      <c r="A323" s="1" t="str">
        <f t="shared" ref="A323:A338" si="10">IF(ISBLANK(B323),"","E"&amp;TEXT(ROW()-1,"000"))</f>
        <v/>
      </c>
    </row>
    <row r="324" spans="1:1" x14ac:dyDescent="0.3">
      <c r="A324" s="1" t="str">
        <f t="shared" si="10"/>
        <v/>
      </c>
    </row>
    <row r="325" spans="1:1" x14ac:dyDescent="0.3">
      <c r="A325" s="1" t="str">
        <f t="shared" si="10"/>
        <v/>
      </c>
    </row>
    <row r="326" spans="1:1" x14ac:dyDescent="0.3">
      <c r="A326" s="1" t="str">
        <f t="shared" si="10"/>
        <v/>
      </c>
    </row>
    <row r="327" spans="1:1" x14ac:dyDescent="0.3">
      <c r="A327" s="1" t="str">
        <f t="shared" si="10"/>
        <v/>
      </c>
    </row>
    <row r="328" spans="1:1" x14ac:dyDescent="0.3">
      <c r="A328" s="1" t="str">
        <f t="shared" si="10"/>
        <v/>
      </c>
    </row>
    <row r="329" spans="1:1" x14ac:dyDescent="0.3">
      <c r="A329" s="1" t="str">
        <f t="shared" si="10"/>
        <v/>
      </c>
    </row>
    <row r="330" spans="1:1" x14ac:dyDescent="0.3">
      <c r="A330" s="1" t="str">
        <f t="shared" si="10"/>
        <v/>
      </c>
    </row>
    <row r="331" spans="1:1" x14ac:dyDescent="0.3">
      <c r="A331" s="1" t="str">
        <f t="shared" si="10"/>
        <v/>
      </c>
    </row>
    <row r="332" spans="1:1" x14ac:dyDescent="0.3">
      <c r="A332" s="1" t="str">
        <f t="shared" si="10"/>
        <v/>
      </c>
    </row>
    <row r="333" spans="1:1" x14ac:dyDescent="0.3">
      <c r="A333" s="1" t="str">
        <f t="shared" si="10"/>
        <v/>
      </c>
    </row>
    <row r="334" spans="1:1" x14ac:dyDescent="0.3">
      <c r="A334" s="1" t="str">
        <f t="shared" si="10"/>
        <v/>
      </c>
    </row>
    <row r="335" spans="1:1" x14ac:dyDescent="0.3">
      <c r="A335" s="1" t="str">
        <f t="shared" si="10"/>
        <v/>
      </c>
    </row>
    <row r="336" spans="1:1" x14ac:dyDescent="0.3">
      <c r="A336" s="1" t="str">
        <f t="shared" si="10"/>
        <v/>
      </c>
    </row>
    <row r="337" spans="1:1" x14ac:dyDescent="0.3">
      <c r="A337" s="1" t="str">
        <f t="shared" si="10"/>
        <v/>
      </c>
    </row>
    <row r="338" spans="1:1" x14ac:dyDescent="0.3">
      <c r="A338" s="1" t="str">
        <f t="shared" si="10"/>
        <v/>
      </c>
    </row>
  </sheetData>
  <dataValidations count="4">
    <dataValidation type="list" allowBlank="1" showInputMessage="1" showErrorMessage="1" sqref="B2:B200">
      <formula1>Req_IDs</formula1>
    </dataValidation>
    <dataValidation type="list" allowBlank="1" showInputMessage="1" showErrorMessage="1" sqref="D2:D200">
      <formula1>Domains</formula1>
    </dataValidation>
    <dataValidation type="list" allowBlank="1" showInputMessage="1" showErrorMessage="1" sqref="E2:E200">
      <formula1>CompTypes</formula1>
    </dataValidation>
    <dataValidation type="list" allowBlank="1" showInputMessage="1" showErrorMessage="1" sqref="F2:F200">
      <formula1>Dimensions</formula1>
    </dataValidation>
  </dataValidation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H14"/>
  <sheetViews>
    <sheetView zoomScale="145" zoomScaleNormal="145" workbookViewId="0">
      <selection activeCell="G20" sqref="G20"/>
    </sheetView>
  </sheetViews>
  <sheetFormatPr baseColWidth="10" defaultRowHeight="14.4" x14ac:dyDescent="0.3"/>
  <cols>
    <col min="1" max="1" width="30.77734375" style="1" customWidth="1"/>
    <col min="2" max="2" width="12.88671875" style="7" customWidth="1"/>
    <col min="3" max="3" width="10.33203125" style="7" customWidth="1"/>
    <col min="4" max="7" width="18.109375" style="7" customWidth="1"/>
    <col min="8" max="16384" width="11.5546875" style="1"/>
  </cols>
  <sheetData>
    <row r="1" spans="1:8" x14ac:dyDescent="0.3">
      <c r="A1" s="34"/>
      <c r="B1" s="35"/>
      <c r="C1" s="35"/>
      <c r="D1" s="36" t="s">
        <v>159</v>
      </c>
      <c r="E1" s="36" t="s">
        <v>160</v>
      </c>
      <c r="F1" s="36" t="s">
        <v>161</v>
      </c>
      <c r="G1" s="36" t="s">
        <v>162</v>
      </c>
    </row>
    <row r="2" spans="1:8" x14ac:dyDescent="0.3">
      <c r="A2" s="37" t="s">
        <v>9</v>
      </c>
      <c r="B2" s="38" t="s">
        <v>157</v>
      </c>
      <c r="C2" s="38" t="s">
        <v>175</v>
      </c>
      <c r="D2" s="38" t="str">
        <f t="array" ref="D2:G2">TRANSPOSE(_Domains!A2:A5)</f>
        <v>Registration</v>
      </c>
      <c r="E2" s="38" t="str">
        <v>Zone Alert System</v>
      </c>
      <c r="F2" s="38" t="str">
        <v>Broadcast System</v>
      </c>
      <c r="G2" s="38" t="str">
        <v>Alert Button</v>
      </c>
      <c r="H2" s="21"/>
    </row>
    <row r="3" spans="1:8" x14ac:dyDescent="0.3">
      <c r="A3" s="1" t="str">
        <f>Stakeholders!A9</f>
        <v>Person Suffering From Dementia</v>
      </c>
      <c r="B3" s="7">
        <f>COUNTIF('Goals &amp; Risks'!$E$2:$E$211,A3)</f>
        <v>12</v>
      </c>
      <c r="C3" s="7">
        <f>SUM(D3:G3)</f>
        <v>4</v>
      </c>
      <c r="D3" s="33">
        <v>1</v>
      </c>
      <c r="E3" s="33">
        <v>1</v>
      </c>
      <c r="F3" s="33">
        <v>1</v>
      </c>
      <c r="G3" s="33">
        <v>1</v>
      </c>
    </row>
    <row r="4" spans="1:8" x14ac:dyDescent="0.3">
      <c r="A4" s="1" t="str">
        <f>Stakeholders!A10</f>
        <v>Contact Person</v>
      </c>
      <c r="B4" s="7">
        <f>COUNTIF('Goals &amp; Risks'!$E$2:$E$211,A4)</f>
        <v>12</v>
      </c>
      <c r="C4" s="7">
        <f t="shared" ref="C4:C13" si="0">SUM(D4:G4)</f>
        <v>2</v>
      </c>
      <c r="D4" s="33"/>
      <c r="E4" s="33">
        <v>1</v>
      </c>
      <c r="F4" s="33">
        <v>1</v>
      </c>
      <c r="G4" s="33"/>
    </row>
    <row r="5" spans="1:8" x14ac:dyDescent="0.3">
      <c r="A5" s="1" t="str">
        <f>Stakeholders!A11</f>
        <v>Alert Button User</v>
      </c>
      <c r="B5" s="7">
        <f>COUNTIF('Goals &amp; Risks'!$E$2:$E$211,A5)</f>
        <v>5</v>
      </c>
      <c r="C5" s="7">
        <f t="shared" si="0"/>
        <v>1</v>
      </c>
      <c r="D5" s="33"/>
      <c r="E5" s="33"/>
      <c r="F5" s="33"/>
      <c r="G5" s="33">
        <v>1</v>
      </c>
    </row>
    <row r="6" spans="1:8" x14ac:dyDescent="0.3">
      <c r="A6" s="1" t="str">
        <f>Stakeholders!A12</f>
        <v>Location with Alert Button</v>
      </c>
      <c r="B6" s="7">
        <f>COUNTIF('Goals &amp; Risks'!$E$2:$E$211,A6)</f>
        <v>10</v>
      </c>
      <c r="C6" s="7">
        <f t="shared" si="0"/>
        <v>1</v>
      </c>
      <c r="D6" s="33"/>
      <c r="E6" s="33"/>
      <c r="F6" s="33"/>
      <c r="G6" s="33">
        <v>1</v>
      </c>
    </row>
    <row r="7" spans="1:8" x14ac:dyDescent="0.3">
      <c r="A7" s="1" t="str">
        <f>Stakeholders!A13</f>
        <v>Nursing Home Caregiver</v>
      </c>
      <c r="B7" s="7">
        <f>COUNTIF('Goals &amp; Risks'!$E$2:$E$211,A7)</f>
        <v>2</v>
      </c>
      <c r="C7" s="7">
        <f t="shared" si="0"/>
        <v>1</v>
      </c>
      <c r="D7" s="33">
        <v>1</v>
      </c>
      <c r="E7" s="33"/>
      <c r="F7" s="33"/>
      <c r="G7" s="33"/>
    </row>
    <row r="8" spans="1:8" x14ac:dyDescent="0.3">
      <c r="A8" s="1" t="str">
        <f>Stakeholders!A14</f>
        <v>Nursing  Home Management</v>
      </c>
      <c r="B8" s="7">
        <f>COUNTIF('Goals &amp; Risks'!$E$2:$E$211,A8)</f>
        <v>7</v>
      </c>
      <c r="C8" s="7">
        <f t="shared" si="0"/>
        <v>1</v>
      </c>
      <c r="D8" s="33">
        <v>1</v>
      </c>
      <c r="E8" s="33"/>
      <c r="F8" s="33"/>
      <c r="G8" s="33"/>
    </row>
    <row r="9" spans="1:8" x14ac:dyDescent="0.3">
      <c r="A9" s="1" t="str">
        <f>Stakeholders!A15</f>
        <v>Nursing Home</v>
      </c>
      <c r="B9" s="7">
        <f>COUNTIF('Goals &amp; Risks'!$E$2:$E$211,A9)</f>
        <v>5</v>
      </c>
      <c r="C9" s="7">
        <f t="shared" si="0"/>
        <v>1</v>
      </c>
      <c r="D9" s="33">
        <v>1</v>
      </c>
      <c r="E9" s="33"/>
      <c r="F9" s="33"/>
      <c r="G9" s="33"/>
    </row>
    <row r="10" spans="1:8" x14ac:dyDescent="0.3">
      <c r="A10" s="1" t="str">
        <f>Stakeholders!A16</f>
        <v>Health Insurance</v>
      </c>
      <c r="B10" s="7">
        <f>COUNTIF('Goals &amp; Risks'!$E$2:$E$211,A10)</f>
        <v>6</v>
      </c>
      <c r="C10" s="7">
        <f t="shared" si="0"/>
        <v>1</v>
      </c>
      <c r="D10" s="33">
        <v>1</v>
      </c>
      <c r="E10" s="33"/>
      <c r="F10" s="33"/>
      <c r="G10" s="33"/>
    </row>
    <row r="11" spans="1:8" x14ac:dyDescent="0.3">
      <c r="A11" s="1" t="str">
        <f>Stakeholders!A17</f>
        <v>Emergency Call System Operator</v>
      </c>
      <c r="B11" s="7">
        <f>COUNTIF('Goals &amp; Risks'!$E$2:$E$211,A11)</f>
        <v>6</v>
      </c>
      <c r="C11" s="7">
        <f t="shared" si="0"/>
        <v>1</v>
      </c>
      <c r="E11" s="7">
        <v>1</v>
      </c>
    </row>
    <row r="12" spans="1:8" x14ac:dyDescent="0.3">
      <c r="A12" s="1" t="str">
        <f>Stakeholders!A18</f>
        <v>ILA Startup</v>
      </c>
      <c r="B12" s="7">
        <f>COUNTIF('Goals &amp; Risks'!$E$2:$E$211,A12)</f>
        <v>6</v>
      </c>
      <c r="C12" s="7">
        <f t="shared" si="0"/>
        <v>1</v>
      </c>
      <c r="F12" s="7">
        <v>1</v>
      </c>
    </row>
    <row r="13" spans="1:8" ht="15" thickBot="1" x14ac:dyDescent="0.35">
      <c r="A13" s="39" t="str">
        <f>Stakeholders!A19</f>
        <v>Society</v>
      </c>
      <c r="B13" s="40">
        <f>COUNTIF('Goals &amp; Risks'!$E$2:$E$211,A13)</f>
        <v>3</v>
      </c>
      <c r="C13" s="40">
        <f t="shared" si="0"/>
        <v>4</v>
      </c>
      <c r="D13" s="40">
        <v>1</v>
      </c>
      <c r="E13" s="40">
        <v>1</v>
      </c>
      <c r="F13" s="40">
        <v>1</v>
      </c>
      <c r="G13" s="40">
        <v>1</v>
      </c>
    </row>
    <row r="14" spans="1:8" ht="15" thickTop="1" x14ac:dyDescent="0.3">
      <c r="A14" s="32" t="s">
        <v>158</v>
      </c>
      <c r="B14" s="22">
        <f>SUM(B3:B13)</f>
        <v>74</v>
      </c>
      <c r="C14" s="22"/>
      <c r="D14" s="22">
        <f>SUMPRODUCT(D3:D13,$B3:$B13)</f>
        <v>35</v>
      </c>
      <c r="E14" s="22">
        <f t="shared" ref="E14:G14" si="1">SUMPRODUCT(E3:E13,$B3:$B13)</f>
        <v>33</v>
      </c>
      <c r="F14" s="22">
        <f t="shared" si="1"/>
        <v>33</v>
      </c>
      <c r="G14" s="22">
        <f t="shared" si="1"/>
        <v>30</v>
      </c>
    </row>
  </sheetData>
  <autoFilter ref="A2:G13"/>
  <conditionalFormatting sqref="C3:C13">
    <cfRule type="cellIs" dxfId="2" priority="1" operator="greaterThan">
      <formula>0</formula>
    </cfRule>
  </conditionalFormatting>
  <pageMargins left="0.7" right="0.7" top="0.78740157499999996" bottom="0.78740157499999996"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E16"/>
  <sheetViews>
    <sheetView zoomScale="115" zoomScaleNormal="115" workbookViewId="0">
      <selection activeCell="B2" sqref="B2:B11"/>
    </sheetView>
  </sheetViews>
  <sheetFormatPr baseColWidth="10" defaultRowHeight="14.4" x14ac:dyDescent="0.3"/>
  <cols>
    <col min="2" max="2" width="11.77734375" customWidth="1"/>
    <col min="4" max="4" width="106.88671875" customWidth="1"/>
  </cols>
  <sheetData>
    <row r="1" spans="1:5" ht="15" thickBot="1" x14ac:dyDescent="0.35">
      <c r="A1" s="41" t="s">
        <v>149</v>
      </c>
      <c r="B1" s="41" t="s">
        <v>46</v>
      </c>
      <c r="C1" s="41" t="s">
        <v>10</v>
      </c>
      <c r="D1" s="41" t="s">
        <v>104</v>
      </c>
      <c r="E1" s="4"/>
    </row>
    <row r="2" spans="1:5" ht="30" customHeight="1" thickTop="1" x14ac:dyDescent="0.3">
      <c r="A2" s="149" t="s">
        <v>183</v>
      </c>
      <c r="B2" s="46" t="s">
        <v>2</v>
      </c>
      <c r="C2" s="3" t="s">
        <v>49</v>
      </c>
      <c r="D2" s="8" t="s">
        <v>98</v>
      </c>
      <c r="E2" s="27">
        <f t="shared" ref="E2:E11" si="0">LEN(D2)</f>
        <v>124</v>
      </c>
    </row>
    <row r="3" spans="1:5" ht="30" customHeight="1" x14ac:dyDescent="0.3">
      <c r="A3" s="150"/>
      <c r="B3" s="46" t="s">
        <v>0</v>
      </c>
      <c r="C3" s="3" t="s">
        <v>47</v>
      </c>
      <c r="D3" s="1" t="s">
        <v>37</v>
      </c>
      <c r="E3" s="27">
        <f t="shared" si="0"/>
        <v>185</v>
      </c>
    </row>
    <row r="4" spans="1:5" ht="30" customHeight="1" x14ac:dyDescent="0.3">
      <c r="A4" s="150"/>
      <c r="B4" s="46" t="s">
        <v>1</v>
      </c>
      <c r="C4" s="3" t="s">
        <v>49</v>
      </c>
      <c r="D4" s="8" t="s">
        <v>36</v>
      </c>
      <c r="E4" s="27">
        <f t="shared" si="0"/>
        <v>108</v>
      </c>
    </row>
    <row r="5" spans="1:5" ht="30" customHeight="1" x14ac:dyDescent="0.3">
      <c r="A5" s="150"/>
      <c r="B5" s="46" t="s">
        <v>5</v>
      </c>
      <c r="C5" s="3" t="s">
        <v>47</v>
      </c>
      <c r="D5" s="8" t="s">
        <v>43</v>
      </c>
      <c r="E5" s="27">
        <f t="shared" si="0"/>
        <v>146</v>
      </c>
    </row>
    <row r="6" spans="1:5" ht="30" customHeight="1" x14ac:dyDescent="0.3">
      <c r="A6" s="150"/>
      <c r="B6" s="46" t="s">
        <v>4</v>
      </c>
      <c r="C6" s="3" t="s">
        <v>49</v>
      </c>
      <c r="D6" s="8" t="s">
        <v>132</v>
      </c>
      <c r="E6" s="27">
        <f t="shared" si="0"/>
        <v>241</v>
      </c>
    </row>
    <row r="7" spans="1:5" ht="30" customHeight="1" x14ac:dyDescent="0.3">
      <c r="A7" s="150"/>
      <c r="B7" s="46" t="s">
        <v>3</v>
      </c>
      <c r="C7" s="3" t="s">
        <v>49</v>
      </c>
      <c r="D7" s="8" t="s">
        <v>42</v>
      </c>
      <c r="E7" s="27">
        <f t="shared" si="0"/>
        <v>131</v>
      </c>
    </row>
    <row r="8" spans="1:5" ht="30" customHeight="1" x14ac:dyDescent="0.3">
      <c r="A8" s="150"/>
      <c r="B8" s="46" t="s">
        <v>6</v>
      </c>
      <c r="C8" s="26" t="s">
        <v>49</v>
      </c>
      <c r="D8" s="12" t="s">
        <v>134</v>
      </c>
      <c r="E8" s="27">
        <f t="shared" si="0"/>
        <v>229</v>
      </c>
    </row>
    <row r="9" spans="1:5" ht="30" customHeight="1" x14ac:dyDescent="0.3">
      <c r="A9" s="151" t="s">
        <v>133</v>
      </c>
      <c r="B9" s="47" t="s">
        <v>71</v>
      </c>
      <c r="C9" s="3" t="s">
        <v>49</v>
      </c>
      <c r="D9" s="12" t="s">
        <v>70</v>
      </c>
      <c r="E9" s="27">
        <f t="shared" si="0"/>
        <v>167</v>
      </c>
    </row>
    <row r="10" spans="1:5" ht="30" customHeight="1" x14ac:dyDescent="0.3">
      <c r="A10" s="151"/>
      <c r="B10" s="47" t="s">
        <v>7</v>
      </c>
      <c r="C10" s="3" t="s">
        <v>48</v>
      </c>
      <c r="D10" s="8" t="s">
        <v>50</v>
      </c>
      <c r="E10" s="27">
        <f t="shared" si="0"/>
        <v>116</v>
      </c>
    </row>
    <row r="11" spans="1:5" ht="30" customHeight="1" x14ac:dyDescent="0.3">
      <c r="A11" s="151"/>
      <c r="B11" s="47" t="s">
        <v>8</v>
      </c>
      <c r="C11" s="3" t="s">
        <v>48</v>
      </c>
      <c r="D11" s="8" t="s">
        <v>77</v>
      </c>
      <c r="E11" s="27">
        <f t="shared" si="0"/>
        <v>169</v>
      </c>
    </row>
    <row r="13" spans="1:5" ht="15" thickBot="1" x14ac:dyDescent="0.35">
      <c r="C13" s="28"/>
      <c r="D13" s="28"/>
    </row>
    <row r="14" spans="1:5" x14ac:dyDescent="0.3">
      <c r="C14" s="29" t="s">
        <v>151</v>
      </c>
      <c r="D14" s="30" t="s">
        <v>152</v>
      </c>
    </row>
    <row r="15" spans="1:5" x14ac:dyDescent="0.3">
      <c r="C15" s="29" t="s">
        <v>153</v>
      </c>
      <c r="D15" s="30" t="s">
        <v>156</v>
      </c>
    </row>
    <row r="16" spans="1:5" x14ac:dyDescent="0.3">
      <c r="C16" s="29" t="s">
        <v>154</v>
      </c>
      <c r="D16" s="30" t="s">
        <v>155</v>
      </c>
    </row>
  </sheetData>
  <sheetProtection formatColumns="0" formatRows="0" selectLockedCells="1" selectUnlockedCells="1"/>
  <mergeCells count="2">
    <mergeCell ref="A2:A8"/>
    <mergeCell ref="A9:A11"/>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6"/>
  <sheetViews>
    <sheetView topLeftCell="A5" zoomScale="175" zoomScaleNormal="175" workbookViewId="0">
      <selection sqref="A1:E1"/>
    </sheetView>
  </sheetViews>
  <sheetFormatPr baseColWidth="10" defaultRowHeight="14.4" x14ac:dyDescent="0.3"/>
  <cols>
    <col min="1" max="1" width="11.5546875" style="6" customWidth="1"/>
    <col min="2" max="2" width="18.44140625" style="5" customWidth="1"/>
    <col min="3" max="3" width="45.5546875" style="5" customWidth="1"/>
    <col min="4" max="4" width="60.109375" style="5" customWidth="1"/>
    <col min="5" max="5" width="47.109375" style="5" customWidth="1"/>
    <col min="6" max="16384" width="11.5546875" style="5"/>
  </cols>
  <sheetData>
    <row r="1" spans="1:5" ht="15" thickBot="1" x14ac:dyDescent="0.35">
      <c r="A1" s="41" t="s">
        <v>20</v>
      </c>
      <c r="B1" s="42" t="s">
        <v>21</v>
      </c>
      <c r="C1" s="43" t="s">
        <v>26</v>
      </c>
      <c r="D1" s="43" t="s">
        <v>27</v>
      </c>
      <c r="E1" s="43" t="s">
        <v>35</v>
      </c>
    </row>
    <row r="2" spans="1:5" ht="64.2" customHeight="1" thickTop="1" x14ac:dyDescent="0.3">
      <c r="A2" s="25">
        <v>2</v>
      </c>
      <c r="B2" s="5" t="s">
        <v>29</v>
      </c>
      <c r="C2" s="23" t="s">
        <v>120</v>
      </c>
      <c r="D2" s="23" t="s">
        <v>127</v>
      </c>
      <c r="E2" s="23" t="s">
        <v>128</v>
      </c>
    </row>
    <row r="3" spans="1:5" ht="64.2" customHeight="1" x14ac:dyDescent="0.3">
      <c r="A3" s="25">
        <v>1</v>
      </c>
      <c r="B3" s="5" t="s">
        <v>28</v>
      </c>
      <c r="C3" s="23" t="s">
        <v>121</v>
      </c>
      <c r="D3" s="23" t="s">
        <v>124</v>
      </c>
      <c r="E3" s="23" t="s">
        <v>129</v>
      </c>
    </row>
    <row r="4" spans="1:5" ht="64.2" customHeight="1" x14ac:dyDescent="0.3">
      <c r="A4" s="25">
        <v>0</v>
      </c>
      <c r="B4" s="5" t="s">
        <v>23</v>
      </c>
      <c r="C4" s="23" t="s">
        <v>24</v>
      </c>
      <c r="D4" s="23" t="s">
        <v>24</v>
      </c>
      <c r="E4" s="23" t="s">
        <v>24</v>
      </c>
    </row>
    <row r="5" spans="1:5" ht="64.2" customHeight="1" x14ac:dyDescent="0.3">
      <c r="A5" s="25">
        <v>-1</v>
      </c>
      <c r="B5" s="5" t="s">
        <v>25</v>
      </c>
      <c r="C5" s="24" t="s">
        <v>122</v>
      </c>
      <c r="D5" s="23" t="s">
        <v>125</v>
      </c>
      <c r="E5" s="23" t="s">
        <v>130</v>
      </c>
    </row>
    <row r="6" spans="1:5" ht="64.2" customHeight="1" x14ac:dyDescent="0.3">
      <c r="A6" s="25">
        <v>-2</v>
      </c>
      <c r="B6" s="5" t="s">
        <v>22</v>
      </c>
      <c r="C6" s="24" t="s">
        <v>123</v>
      </c>
      <c r="D6" s="23" t="s">
        <v>126</v>
      </c>
      <c r="E6" s="23" t="s">
        <v>131</v>
      </c>
    </row>
  </sheetData>
  <sheetProtection sheet="1" objects="1" scenarios="1" formatColumns="0" formatRows="0" selectLockedCells="1" selectUnlockedCells="1"/>
  <conditionalFormatting sqref="A2:A6">
    <cfRule type="colorScale" priority="1">
      <colorScale>
        <cfvo type="min"/>
        <cfvo type="percentile" val="50"/>
        <cfvo type="max"/>
        <color rgb="FFF8696B"/>
        <color rgb="FFFCFCFF"/>
        <color rgb="FF63BE7B"/>
      </colorScale>
    </cfRule>
  </conditionalFormatting>
  <pageMargins left="0.7" right="0.7" top="0.78740157499999996" bottom="0.78740157499999996"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13"/>
  <sheetViews>
    <sheetView showGridLines="0" zoomScaleNormal="100" workbookViewId="0">
      <selection activeCell="G14" sqref="G14"/>
    </sheetView>
  </sheetViews>
  <sheetFormatPr baseColWidth="10" defaultRowHeight="14.4" x14ac:dyDescent="0.3"/>
  <cols>
    <col min="1" max="1" width="5.44140625" style="66" customWidth="1"/>
    <col min="2" max="2" width="18.21875" style="70" customWidth="1"/>
    <col min="3" max="3" width="18.44140625" style="64" customWidth="1"/>
    <col min="4" max="4" width="88.88671875" style="64" customWidth="1"/>
    <col min="5" max="5" width="7.6640625" style="64" customWidth="1"/>
    <col min="6" max="6" width="13.21875" style="64" customWidth="1"/>
    <col min="7" max="7" width="15.21875" style="64" customWidth="1"/>
    <col min="8" max="16384" width="11.5546875" style="64"/>
  </cols>
  <sheetData>
    <row r="1" spans="1:7" ht="15" thickBot="1" x14ac:dyDescent="0.35">
      <c r="A1" s="63" t="s">
        <v>214</v>
      </c>
      <c r="B1" s="63" t="s">
        <v>11</v>
      </c>
      <c r="C1" s="63" t="s">
        <v>30</v>
      </c>
      <c r="D1" s="63" t="s">
        <v>150</v>
      </c>
      <c r="F1" s="108" t="s">
        <v>289</v>
      </c>
      <c r="G1" s="108" t="s">
        <v>290</v>
      </c>
    </row>
    <row r="2" spans="1:7" ht="15" thickTop="1" x14ac:dyDescent="0.3">
      <c r="A2" s="66">
        <v>1</v>
      </c>
      <c r="B2" s="75" t="s">
        <v>59</v>
      </c>
      <c r="C2" s="64" t="s">
        <v>220</v>
      </c>
      <c r="D2" s="64" t="s">
        <v>221</v>
      </c>
      <c r="F2" s="64" t="b">
        <f>IF(ISBLANK(Stakeholders!$I$2),TRUE,C2=Stakeholders!$I$2)</f>
        <v>1</v>
      </c>
      <c r="G2" s="64" t="b">
        <f>C2=Stakeholders!$I$2</f>
        <v>0</v>
      </c>
    </row>
    <row r="3" spans="1:7" x14ac:dyDescent="0.3">
      <c r="B3" s="76"/>
      <c r="C3" s="64" t="s">
        <v>215</v>
      </c>
      <c r="D3" s="64" t="s">
        <v>54</v>
      </c>
      <c r="F3" s="64" t="b">
        <f>IF(ISBLANK(Stakeholders!$I$2),TRUE,C3=Stakeholders!$I$2)</f>
        <v>1</v>
      </c>
      <c r="G3" s="64" t="b">
        <f>C3=Stakeholders!$I$2</f>
        <v>0</v>
      </c>
    </row>
    <row r="4" spans="1:7" x14ac:dyDescent="0.3">
      <c r="A4" s="67">
        <v>2</v>
      </c>
      <c r="B4" s="109" t="s">
        <v>288</v>
      </c>
      <c r="C4" s="68" t="s">
        <v>216</v>
      </c>
      <c r="D4" s="68" t="s">
        <v>56</v>
      </c>
      <c r="F4" s="64" t="b">
        <f>IF(ISBLANK(Stakeholders!$N$2),TRUE,C4=Stakeholders!$N$2)</f>
        <v>0</v>
      </c>
      <c r="G4" s="64" t="b">
        <f>C4=Stakeholders!$N$2</f>
        <v>0</v>
      </c>
    </row>
    <row r="5" spans="1:7" x14ac:dyDescent="0.3">
      <c r="B5" s="110"/>
      <c r="C5" s="64" t="s">
        <v>217</v>
      </c>
      <c r="D5" s="64" t="s">
        <v>57</v>
      </c>
      <c r="F5" s="64" t="b">
        <f>IF(ISBLANK(Stakeholders!$N$2),TRUE,C5=Stakeholders!$N$2)</f>
        <v>1</v>
      </c>
      <c r="G5" s="64" t="b">
        <f>C5=Stakeholders!$N$2</f>
        <v>1</v>
      </c>
    </row>
    <row r="6" spans="1:7" x14ac:dyDescent="0.3">
      <c r="A6" s="67">
        <v>3</v>
      </c>
      <c r="B6" s="65" t="s">
        <v>58</v>
      </c>
      <c r="C6" s="68" t="s">
        <v>218</v>
      </c>
      <c r="D6" s="68" t="s">
        <v>60</v>
      </c>
      <c r="F6" s="64" t="b">
        <f>IF(ISBLANK(Stakeholders!$S$2),TRUE,C6=Stakeholders!$S$2)</f>
        <v>1</v>
      </c>
      <c r="G6" s="64" t="b">
        <f>C6=Stakeholders!$S$2</f>
        <v>0</v>
      </c>
    </row>
    <row r="7" spans="1:7" x14ac:dyDescent="0.3">
      <c r="B7" s="69"/>
      <c r="C7" s="64" t="s">
        <v>219</v>
      </c>
      <c r="D7" s="64" t="s">
        <v>61</v>
      </c>
      <c r="F7" s="64" t="b">
        <f>IF(ISBLANK(Stakeholders!$S$2),TRUE,C7=Stakeholders!$S$2)</f>
        <v>1</v>
      </c>
      <c r="G7" s="64" t="b">
        <f>C7=Stakeholders!$S$2</f>
        <v>0</v>
      </c>
    </row>
    <row r="8" spans="1:7" x14ac:dyDescent="0.3">
      <c r="A8" s="67">
        <v>4</v>
      </c>
      <c r="B8" s="65" t="s">
        <v>222</v>
      </c>
      <c r="C8" s="68" t="s">
        <v>226</v>
      </c>
      <c r="D8" s="68" t="s">
        <v>228</v>
      </c>
      <c r="F8" s="64" t="b">
        <f>IF(ISBLANK(Stakeholders!$I$4),TRUE,C8=Stakeholders!$I$4)</f>
        <v>0</v>
      </c>
      <c r="G8" s="64" t="b">
        <f>C8=Stakeholders!$I$4</f>
        <v>0</v>
      </c>
    </row>
    <row r="9" spans="1:7" x14ac:dyDescent="0.3">
      <c r="C9" s="64" t="s">
        <v>227</v>
      </c>
      <c r="D9" s="64" t="s">
        <v>229</v>
      </c>
      <c r="F9" s="64" t="b">
        <f>IF(ISBLANK(Stakeholders!$I$4),TRUE,C9=Stakeholders!$I$4)</f>
        <v>1</v>
      </c>
      <c r="G9" s="64" t="b">
        <f>C9=Stakeholders!$I$4</f>
        <v>1</v>
      </c>
    </row>
    <row r="10" spans="1:7" x14ac:dyDescent="0.3">
      <c r="A10" s="67">
        <v>5</v>
      </c>
      <c r="B10" s="65" t="s">
        <v>223</v>
      </c>
      <c r="C10" s="68" t="s">
        <v>224</v>
      </c>
      <c r="D10" s="68" t="s">
        <v>230</v>
      </c>
      <c r="F10" s="64" t="b">
        <f>IF(ISBLANK(Stakeholders!$N$4),TRUE,C10=Stakeholders!$N$4)</f>
        <v>0</v>
      </c>
      <c r="G10" s="64" t="b">
        <f>C10=Stakeholders!$N$4</f>
        <v>0</v>
      </c>
    </row>
    <row r="11" spans="1:7" x14ac:dyDescent="0.3">
      <c r="C11" s="64" t="s">
        <v>225</v>
      </c>
      <c r="D11" s="71" t="s">
        <v>84</v>
      </c>
      <c r="F11" s="64" t="b">
        <f>IF(ISBLANK(Stakeholders!$N$4),TRUE,C11=Stakeholders!$N$4)</f>
        <v>1</v>
      </c>
      <c r="G11" s="64" t="b">
        <f>C11=Stakeholders!$N$4</f>
        <v>1</v>
      </c>
    </row>
    <row r="12" spans="1:7" x14ac:dyDescent="0.3">
      <c r="A12" s="67">
        <v>6</v>
      </c>
      <c r="B12" s="65" t="s">
        <v>81</v>
      </c>
      <c r="C12" s="68" t="s">
        <v>231</v>
      </c>
      <c r="D12" s="68" t="s">
        <v>82</v>
      </c>
      <c r="F12" s="64" t="b">
        <f>IF(ISBLANK(Stakeholders!$S$4),TRUE,C12=Stakeholders!$S$4)</f>
        <v>0</v>
      </c>
      <c r="G12" s="64" t="b">
        <f>C12=Stakeholders!$S$4</f>
        <v>0</v>
      </c>
    </row>
    <row r="13" spans="1:7" x14ac:dyDescent="0.3">
      <c r="C13" s="64" t="s">
        <v>232</v>
      </c>
      <c r="D13" s="64" t="s">
        <v>83</v>
      </c>
      <c r="F13" s="64" t="b">
        <f>IF(ISBLANK(Stakeholders!$S$4),TRUE,C13=Stakeholders!$S$4)</f>
        <v>1</v>
      </c>
      <c r="G13" s="64" t="b">
        <f>C13=Stakeholders!$S$4</f>
        <v>1</v>
      </c>
    </row>
  </sheetData>
  <sheetProtection formatColumns="0" formatRows="0" selectLockedCells="1" selectUnlockedCells="1"/>
  <conditionalFormatting sqref="F2:F13">
    <cfRule type="cellIs" dxfId="1" priority="2" operator="equal">
      <formula>TRUE</formula>
    </cfRule>
  </conditionalFormatting>
  <conditionalFormatting sqref="G2:G13">
    <cfRule type="cellIs" dxfId="0" priority="1" operator="equal">
      <formula>TRUE</formula>
    </cfRule>
  </conditionalFormatting>
  <pageMargins left="0.7" right="0.7" top="0.78740157499999996" bottom="0.78740157499999996"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E8"/>
  <sheetViews>
    <sheetView zoomScale="145" zoomScaleNormal="145" workbookViewId="0">
      <selection activeCell="D5" sqref="D5"/>
    </sheetView>
  </sheetViews>
  <sheetFormatPr baseColWidth="10" defaultRowHeight="14.4" x14ac:dyDescent="0.3"/>
  <cols>
    <col min="1" max="1" width="21.109375" style="1" customWidth="1"/>
    <col min="2" max="2" width="16.21875" style="1" customWidth="1"/>
    <col min="3" max="3" width="17.44140625" style="1" customWidth="1"/>
    <col min="4" max="4" width="87.77734375" style="1" customWidth="1"/>
    <col min="5" max="16384" width="11.5546875" style="1"/>
  </cols>
  <sheetData>
    <row r="1" spans="1:5" ht="15" thickBot="1" x14ac:dyDescent="0.35">
      <c r="A1" s="41" t="s">
        <v>167</v>
      </c>
      <c r="B1" s="8"/>
      <c r="C1" s="41" t="s">
        <v>182</v>
      </c>
      <c r="D1" s="41" t="s">
        <v>150</v>
      </c>
    </row>
    <row r="2" spans="1:5" ht="43.8" thickTop="1" x14ac:dyDescent="0.3">
      <c r="A2" s="21" t="s">
        <v>163</v>
      </c>
      <c r="C2" s="21" t="s">
        <v>172</v>
      </c>
      <c r="D2" s="1" t="s">
        <v>179</v>
      </c>
      <c r="E2" s="27"/>
    </row>
    <row r="3" spans="1:5" ht="28.8" x14ac:dyDescent="0.3">
      <c r="A3" s="21" t="s">
        <v>164</v>
      </c>
      <c r="C3" s="21" t="s">
        <v>170</v>
      </c>
      <c r="D3" s="1" t="s">
        <v>177</v>
      </c>
      <c r="E3" s="27"/>
    </row>
    <row r="4" spans="1:5" x14ac:dyDescent="0.3">
      <c r="A4" s="21" t="s">
        <v>165</v>
      </c>
      <c r="C4" s="21" t="s">
        <v>191</v>
      </c>
      <c r="D4" s="1" t="s">
        <v>192</v>
      </c>
      <c r="E4" s="27"/>
    </row>
    <row r="5" spans="1:5" ht="28.8" x14ac:dyDescent="0.3">
      <c r="A5" s="21" t="s">
        <v>166</v>
      </c>
      <c r="C5" s="21" t="s">
        <v>169</v>
      </c>
      <c r="D5" s="1" t="s">
        <v>176</v>
      </c>
      <c r="E5" s="27"/>
    </row>
    <row r="6" spans="1:5" ht="28.8" x14ac:dyDescent="0.3">
      <c r="A6" s="21" t="s">
        <v>187</v>
      </c>
      <c r="C6" s="21" t="s">
        <v>174</v>
      </c>
      <c r="D6" s="1" t="s">
        <v>181</v>
      </c>
      <c r="E6" s="27"/>
    </row>
    <row r="7" spans="1:5" ht="28.8" x14ac:dyDescent="0.3">
      <c r="C7" s="21" t="s">
        <v>173</v>
      </c>
      <c r="D7" s="1" t="s">
        <v>180</v>
      </c>
      <c r="E7" s="27"/>
    </row>
    <row r="8" spans="1:5" ht="28.8" x14ac:dyDescent="0.3">
      <c r="C8" s="21" t="s">
        <v>171</v>
      </c>
      <c r="D8" s="1" t="s">
        <v>178</v>
      </c>
    </row>
  </sheetData>
  <sortState ref="C2:D8">
    <sortCondition ref="C2:C8"/>
  </sortState>
  <pageMargins left="0.7" right="0.7" top="0.78740157499999996" bottom="0.78740157499999996"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theme="0" tint="-0.499984740745262"/>
  </sheetPr>
  <dimension ref="A1:BX263"/>
  <sheetViews>
    <sheetView workbookViewId="0">
      <selection activeCell="B2" sqref="B2"/>
    </sheetView>
  </sheetViews>
  <sheetFormatPr baseColWidth="10" defaultRowHeight="14.4" x14ac:dyDescent="0.3"/>
  <cols>
    <col min="1" max="1" width="8.33203125" style="85" customWidth="1"/>
    <col min="2" max="2" width="23.109375" style="83" customWidth="1"/>
    <col min="3" max="68" width="5.44140625" style="83" customWidth="1"/>
    <col min="69" max="16384" width="11.5546875" style="83"/>
  </cols>
  <sheetData>
    <row r="1" spans="1:70" s="85" customFormat="1" ht="28.8" x14ac:dyDescent="0.3">
      <c r="A1" s="88" t="s">
        <v>245</v>
      </c>
      <c r="B1" s="84" t="s">
        <v>244</v>
      </c>
      <c r="C1" s="86" t="str">
        <f>"gr"&amp;COLUMN()-2</f>
        <v>gr1</v>
      </c>
      <c r="D1" s="86" t="str">
        <f t="shared" ref="D1:BO1" si="0">"gr"&amp;COLUMN()-2</f>
        <v>gr2</v>
      </c>
      <c r="E1" s="86" t="str">
        <f t="shared" si="0"/>
        <v>gr3</v>
      </c>
      <c r="F1" s="86" t="str">
        <f t="shared" si="0"/>
        <v>gr4</v>
      </c>
      <c r="G1" s="86" t="str">
        <f t="shared" si="0"/>
        <v>gr5</v>
      </c>
      <c r="H1" s="86" t="str">
        <f t="shared" si="0"/>
        <v>gr6</v>
      </c>
      <c r="I1" s="86" t="str">
        <f t="shared" si="0"/>
        <v>gr7</v>
      </c>
      <c r="J1" s="86" t="str">
        <f t="shared" si="0"/>
        <v>gr8</v>
      </c>
      <c r="K1" s="86" t="str">
        <f t="shared" si="0"/>
        <v>gr9</v>
      </c>
      <c r="L1" s="86" t="str">
        <f t="shared" si="0"/>
        <v>gr10</v>
      </c>
      <c r="M1" s="86" t="str">
        <f t="shared" si="0"/>
        <v>gr11</v>
      </c>
      <c r="N1" s="86" t="str">
        <f t="shared" si="0"/>
        <v>gr12</v>
      </c>
      <c r="O1" s="86" t="str">
        <f t="shared" si="0"/>
        <v>gr13</v>
      </c>
      <c r="P1" s="86" t="str">
        <f t="shared" si="0"/>
        <v>gr14</v>
      </c>
      <c r="Q1" s="86" t="str">
        <f t="shared" si="0"/>
        <v>gr15</v>
      </c>
      <c r="R1" s="86" t="str">
        <f t="shared" si="0"/>
        <v>gr16</v>
      </c>
      <c r="S1" s="86" t="str">
        <f t="shared" si="0"/>
        <v>gr17</v>
      </c>
      <c r="T1" s="86" t="str">
        <f t="shared" si="0"/>
        <v>gr18</v>
      </c>
      <c r="U1" s="86" t="str">
        <f t="shared" si="0"/>
        <v>gr19</v>
      </c>
      <c r="V1" s="86" t="str">
        <f t="shared" si="0"/>
        <v>gr20</v>
      </c>
      <c r="W1" s="86" t="str">
        <f t="shared" si="0"/>
        <v>gr21</v>
      </c>
      <c r="X1" s="86" t="str">
        <f t="shared" si="0"/>
        <v>gr22</v>
      </c>
      <c r="Y1" s="86" t="str">
        <f t="shared" si="0"/>
        <v>gr23</v>
      </c>
      <c r="Z1" s="86" t="str">
        <f t="shared" si="0"/>
        <v>gr24</v>
      </c>
      <c r="AA1" s="86" t="str">
        <f t="shared" si="0"/>
        <v>gr25</v>
      </c>
      <c r="AB1" s="86" t="str">
        <f t="shared" si="0"/>
        <v>gr26</v>
      </c>
      <c r="AC1" s="86" t="str">
        <f t="shared" si="0"/>
        <v>gr27</v>
      </c>
      <c r="AD1" s="86" t="str">
        <f t="shared" si="0"/>
        <v>gr28</v>
      </c>
      <c r="AE1" s="86" t="str">
        <f t="shared" si="0"/>
        <v>gr29</v>
      </c>
      <c r="AF1" s="86" t="str">
        <f t="shared" si="0"/>
        <v>gr30</v>
      </c>
      <c r="AG1" s="86" t="str">
        <f t="shared" si="0"/>
        <v>gr31</v>
      </c>
      <c r="AH1" s="86" t="str">
        <f t="shared" si="0"/>
        <v>gr32</v>
      </c>
      <c r="AI1" s="86" t="str">
        <f t="shared" si="0"/>
        <v>gr33</v>
      </c>
      <c r="AJ1" s="86" t="str">
        <f t="shared" si="0"/>
        <v>gr34</v>
      </c>
      <c r="AK1" s="86" t="str">
        <f t="shared" si="0"/>
        <v>gr35</v>
      </c>
      <c r="AL1" s="86" t="str">
        <f t="shared" si="0"/>
        <v>gr36</v>
      </c>
      <c r="AM1" s="86" t="str">
        <f t="shared" si="0"/>
        <v>gr37</v>
      </c>
      <c r="AN1" s="86" t="str">
        <f t="shared" si="0"/>
        <v>gr38</v>
      </c>
      <c r="AO1" s="86" t="str">
        <f t="shared" si="0"/>
        <v>gr39</v>
      </c>
      <c r="AP1" s="86" t="str">
        <f t="shared" si="0"/>
        <v>gr40</v>
      </c>
      <c r="AQ1" s="86" t="str">
        <f t="shared" si="0"/>
        <v>gr41</v>
      </c>
      <c r="AR1" s="86" t="str">
        <f t="shared" si="0"/>
        <v>gr42</v>
      </c>
      <c r="AS1" s="86" t="str">
        <f t="shared" si="0"/>
        <v>gr43</v>
      </c>
      <c r="AT1" s="86" t="str">
        <f t="shared" si="0"/>
        <v>gr44</v>
      </c>
      <c r="AU1" s="86" t="str">
        <f t="shared" si="0"/>
        <v>gr45</v>
      </c>
      <c r="AV1" s="86" t="str">
        <f t="shared" si="0"/>
        <v>gr46</v>
      </c>
      <c r="AW1" s="86" t="str">
        <f t="shared" si="0"/>
        <v>gr47</v>
      </c>
      <c r="AX1" s="86" t="str">
        <f t="shared" si="0"/>
        <v>gr48</v>
      </c>
      <c r="AY1" s="86" t="str">
        <f t="shared" si="0"/>
        <v>gr49</v>
      </c>
      <c r="AZ1" s="86" t="str">
        <f t="shared" si="0"/>
        <v>gr50</v>
      </c>
      <c r="BA1" s="86" t="str">
        <f t="shared" si="0"/>
        <v>gr51</v>
      </c>
      <c r="BB1" s="86" t="str">
        <f t="shared" si="0"/>
        <v>gr52</v>
      </c>
      <c r="BC1" s="86" t="str">
        <f t="shared" si="0"/>
        <v>gr53</v>
      </c>
      <c r="BD1" s="86" t="str">
        <f t="shared" si="0"/>
        <v>gr54</v>
      </c>
      <c r="BE1" s="86" t="str">
        <f t="shared" si="0"/>
        <v>gr55</v>
      </c>
      <c r="BF1" s="86" t="str">
        <f t="shared" si="0"/>
        <v>gr56</v>
      </c>
      <c r="BG1" s="86" t="str">
        <f t="shared" si="0"/>
        <v>gr57</v>
      </c>
      <c r="BH1" s="86" t="str">
        <f t="shared" si="0"/>
        <v>gr58</v>
      </c>
      <c r="BI1" s="86" t="str">
        <f t="shared" si="0"/>
        <v>gr59</v>
      </c>
      <c r="BJ1" s="86" t="str">
        <f t="shared" si="0"/>
        <v>gr60</v>
      </c>
      <c r="BK1" s="86" t="str">
        <f t="shared" si="0"/>
        <v>gr61</v>
      </c>
      <c r="BL1" s="86" t="str">
        <f t="shared" si="0"/>
        <v>gr62</v>
      </c>
      <c r="BM1" s="86" t="str">
        <f t="shared" si="0"/>
        <v>gr63</v>
      </c>
      <c r="BN1" s="86" t="str">
        <f t="shared" si="0"/>
        <v>gr64</v>
      </c>
      <c r="BO1" s="86" t="str">
        <f t="shared" si="0"/>
        <v>gr65</v>
      </c>
      <c r="BP1" s="86" t="str">
        <f t="shared" ref="BP1" si="1">"gr"&amp;COLUMN()-2</f>
        <v>gr66</v>
      </c>
    </row>
    <row r="2" spans="1:70" x14ac:dyDescent="0.3">
      <c r="A2" s="87">
        <f>ROW()-1</f>
        <v>1</v>
      </c>
      <c r="B2" s="83" t="b">
        <f>IF(ISBLANK(Requirements!C7),TRUE,VLOOKUP(Requirements!C7,Scens_With_All_Data,5,FALSE))</f>
        <v>1</v>
      </c>
      <c r="C2" s="83">
        <v>-1</v>
      </c>
      <c r="F2" s="83">
        <v>0</v>
      </c>
      <c r="H2" s="83">
        <v>2</v>
      </c>
      <c r="J2" s="83">
        <v>2</v>
      </c>
      <c r="O2" s="83">
        <v>-2</v>
      </c>
      <c r="P2" s="83">
        <v>1</v>
      </c>
      <c r="W2" s="83">
        <v>-2</v>
      </c>
      <c r="X2" s="83">
        <v>-1</v>
      </c>
      <c r="Y2" s="83">
        <v>0</v>
      </c>
      <c r="Z2" s="83">
        <v>1</v>
      </c>
      <c r="BQ2" s="83">
        <v>-1</v>
      </c>
      <c r="BR2" s="83">
        <v>1</v>
      </c>
    </row>
    <row r="3" spans="1:70" x14ac:dyDescent="0.3">
      <c r="A3" s="87">
        <f t="shared" ref="A3:A66" si="2">ROW()-1</f>
        <v>2</v>
      </c>
      <c r="B3" s="83" t="b">
        <f>IF(ISBLANK(Requirements!C8),TRUE,VLOOKUP(Requirements!C8,Scens_With_All_Data,5,FALSE))</f>
        <v>1</v>
      </c>
      <c r="C3" s="83">
        <v>-1</v>
      </c>
      <c r="F3" s="83">
        <v>0</v>
      </c>
      <c r="P3" s="83">
        <v>1</v>
      </c>
      <c r="Q3" s="83">
        <v>-1</v>
      </c>
      <c r="V3" s="83">
        <v>-1</v>
      </c>
      <c r="Y3" s="83">
        <v>0</v>
      </c>
      <c r="Z3" s="83">
        <v>1</v>
      </c>
    </row>
    <row r="4" spans="1:70" x14ac:dyDescent="0.3">
      <c r="A4" s="87">
        <f t="shared" si="2"/>
        <v>3</v>
      </c>
      <c r="B4" s="83" t="b">
        <f>IF(ISBLANK(Requirements!C9),TRUE,VLOOKUP(Requirements!C9,Scens_With_All_Data,5,FALSE))</f>
        <v>1</v>
      </c>
      <c r="C4" s="83">
        <v>0</v>
      </c>
      <c r="F4" s="83">
        <v>1</v>
      </c>
      <c r="O4" s="83">
        <v>-2</v>
      </c>
      <c r="P4" s="83">
        <v>1</v>
      </c>
      <c r="Z4" s="83">
        <v>1</v>
      </c>
    </row>
    <row r="5" spans="1:70" x14ac:dyDescent="0.3">
      <c r="A5" s="87">
        <f t="shared" si="2"/>
        <v>4</v>
      </c>
      <c r="B5" s="83" t="b">
        <f>IF(ISBLANK(Requirements!C10),TRUE,VLOOKUP(Requirements!C10,Scens_With_All_Data,5,FALSE))</f>
        <v>0</v>
      </c>
      <c r="G5" s="83">
        <v>-1</v>
      </c>
      <c r="H5" s="83">
        <v>2</v>
      </c>
      <c r="J5" s="83">
        <v>2</v>
      </c>
      <c r="AP5" s="83">
        <v>1</v>
      </c>
      <c r="AQ5" s="83">
        <v>1</v>
      </c>
      <c r="AV5" s="83">
        <v>1</v>
      </c>
      <c r="AW5" s="83">
        <v>1</v>
      </c>
      <c r="BB5" s="83">
        <v>1</v>
      </c>
      <c r="BQ5" s="83">
        <v>-1</v>
      </c>
      <c r="BR5" s="83">
        <v>1</v>
      </c>
    </row>
    <row r="6" spans="1:70" x14ac:dyDescent="0.3">
      <c r="A6" s="87">
        <f t="shared" si="2"/>
        <v>5</v>
      </c>
      <c r="B6" s="83" t="b">
        <f>IF(ISBLANK(Requirements!C11),TRUE,VLOOKUP(Requirements!C11,Scens_With_All_Data,5,FALSE))</f>
        <v>1</v>
      </c>
      <c r="I6" s="83">
        <v>0</v>
      </c>
      <c r="W6" s="83">
        <v>-1</v>
      </c>
    </row>
    <row r="7" spans="1:70" x14ac:dyDescent="0.3">
      <c r="A7" s="87">
        <f t="shared" si="2"/>
        <v>6</v>
      </c>
      <c r="B7" s="83" t="b">
        <f>IF(ISBLANK(Requirements!C12),TRUE,VLOOKUP(Requirements!C12,Scens_With_All_Data,5,FALSE))</f>
        <v>1</v>
      </c>
      <c r="I7" s="83">
        <v>0</v>
      </c>
      <c r="W7" s="83">
        <v>-1</v>
      </c>
    </row>
    <row r="8" spans="1:70" x14ac:dyDescent="0.3">
      <c r="A8" s="87">
        <f t="shared" si="2"/>
        <v>7</v>
      </c>
      <c r="B8" s="83" t="b">
        <f>IF(ISBLANK(Requirements!C13),TRUE,VLOOKUP(Requirements!C13,Scens_With_All_Data,5,FALSE))</f>
        <v>1</v>
      </c>
      <c r="I8" s="83">
        <v>0</v>
      </c>
      <c r="O8" s="83">
        <v>-1</v>
      </c>
      <c r="P8" s="83">
        <v>1</v>
      </c>
      <c r="W8" s="83">
        <v>-1</v>
      </c>
    </row>
    <row r="9" spans="1:70" x14ac:dyDescent="0.3">
      <c r="A9" s="87">
        <f t="shared" si="2"/>
        <v>8</v>
      </c>
      <c r="B9" s="83" t="b">
        <f>IF(ISBLANK(Requirements!C14),TRUE,VLOOKUP(Requirements!C14,Scens_With_All_Data,5,FALSE))</f>
        <v>1</v>
      </c>
      <c r="I9" s="83">
        <v>0</v>
      </c>
      <c r="O9" s="83">
        <v>-1</v>
      </c>
      <c r="P9" s="83">
        <v>1</v>
      </c>
      <c r="W9" s="83">
        <v>-1</v>
      </c>
    </row>
    <row r="10" spans="1:70" x14ac:dyDescent="0.3">
      <c r="A10" s="87">
        <f t="shared" si="2"/>
        <v>9</v>
      </c>
      <c r="B10" s="83" t="b">
        <f>IF(ISBLANK(Requirements!C15),TRUE,VLOOKUP(Requirements!C15,Scens_With_All_Data,5,FALSE))</f>
        <v>1</v>
      </c>
      <c r="BQ10" s="83">
        <v>-1</v>
      </c>
    </row>
    <row r="11" spans="1:70" x14ac:dyDescent="0.3">
      <c r="A11" s="87">
        <f t="shared" si="2"/>
        <v>10</v>
      </c>
      <c r="B11" s="83" t="b">
        <f>IF(ISBLANK(Requirements!C16),TRUE,VLOOKUP(Requirements!C16,Scens_With_All_Data,5,FALSE))</f>
        <v>1</v>
      </c>
      <c r="BQ11" s="83">
        <v>-1</v>
      </c>
    </row>
    <row r="12" spans="1:70" x14ac:dyDescent="0.3">
      <c r="A12" s="87">
        <f t="shared" si="2"/>
        <v>11</v>
      </c>
      <c r="B12" s="83" t="b">
        <f>IF(ISBLANK(Requirements!C17),TRUE,VLOOKUP(Requirements!C17,Scens_With_All_Data,5,FALSE))</f>
        <v>1</v>
      </c>
    </row>
    <row r="13" spans="1:70" x14ac:dyDescent="0.3">
      <c r="A13" s="87">
        <f t="shared" si="2"/>
        <v>12</v>
      </c>
      <c r="B13" s="83" t="b">
        <f>IF(ISBLANK(Requirements!C18),TRUE,VLOOKUP(Requirements!C18,Scens_With_All_Data,5,FALSE))</f>
        <v>1</v>
      </c>
    </row>
    <row r="14" spans="1:70" x14ac:dyDescent="0.3">
      <c r="A14" s="87">
        <f t="shared" si="2"/>
        <v>13</v>
      </c>
      <c r="B14" s="83" t="b">
        <f>IF(ISBLANK(Requirements!C19),TRUE,VLOOKUP(Requirements!C19,Scens_With_All_Data,5,FALSE))</f>
        <v>1</v>
      </c>
      <c r="C14" s="83">
        <v>-1</v>
      </c>
      <c r="E14" s="83">
        <v>0</v>
      </c>
      <c r="X14" s="83">
        <v>-1</v>
      </c>
      <c r="Y14" s="83">
        <v>0</v>
      </c>
      <c r="AX14" s="83">
        <v>-1</v>
      </c>
      <c r="BB14" s="83">
        <v>1</v>
      </c>
    </row>
    <row r="15" spans="1:70" x14ac:dyDescent="0.3">
      <c r="A15" s="87">
        <f t="shared" si="2"/>
        <v>14</v>
      </c>
      <c r="B15" s="83" t="b">
        <f>IF(ISBLANK(Requirements!C20),TRUE,VLOOKUP(Requirements!C20,Scens_With_All_Data,5,FALSE))</f>
        <v>1</v>
      </c>
      <c r="X15" s="83">
        <v>-1</v>
      </c>
      <c r="Y15" s="83">
        <v>0</v>
      </c>
      <c r="AX15" s="83">
        <v>-1</v>
      </c>
      <c r="BB15" s="83">
        <v>1</v>
      </c>
    </row>
    <row r="16" spans="1:70" x14ac:dyDescent="0.3">
      <c r="A16" s="87">
        <f t="shared" si="2"/>
        <v>15</v>
      </c>
      <c r="B16" s="83" t="b">
        <f>IF(ISBLANK(Requirements!C21),TRUE,VLOOKUP(Requirements!C21,Scens_With_All_Data,5,FALSE))</f>
        <v>1</v>
      </c>
      <c r="AF16" s="83">
        <v>0</v>
      </c>
      <c r="AM16" s="83">
        <v>0</v>
      </c>
    </row>
    <row r="17" spans="1:70" x14ac:dyDescent="0.3">
      <c r="A17" s="87">
        <f t="shared" si="2"/>
        <v>16</v>
      </c>
      <c r="B17" s="83" t="b">
        <f>IF(ISBLANK(Requirements!C22),TRUE,VLOOKUP(Requirements!C22,Scens_With_All_Data,5,FALSE))</f>
        <v>1</v>
      </c>
      <c r="AF17" s="83">
        <v>0</v>
      </c>
      <c r="AM17" s="83">
        <v>0</v>
      </c>
    </row>
    <row r="18" spans="1:70" x14ac:dyDescent="0.3">
      <c r="A18" s="87">
        <f t="shared" si="2"/>
        <v>17</v>
      </c>
      <c r="B18" s="83" t="b">
        <f>IF(ISBLANK(Requirements!C23),TRUE,VLOOKUP(Requirements!C23,Scens_With_All_Data,5,FALSE))</f>
        <v>1</v>
      </c>
      <c r="C18" s="83">
        <v>-1</v>
      </c>
      <c r="O18" s="83">
        <v>-1</v>
      </c>
      <c r="P18" s="83">
        <v>1</v>
      </c>
      <c r="Q18" s="83">
        <v>0</v>
      </c>
      <c r="V18" s="83">
        <v>-1</v>
      </c>
    </row>
    <row r="19" spans="1:70" x14ac:dyDescent="0.3">
      <c r="A19" s="87">
        <f t="shared" si="2"/>
        <v>18</v>
      </c>
      <c r="B19" s="83" t="b">
        <f>IF(ISBLANK(Requirements!C24),TRUE,VLOOKUP(Requirements!C24,Scens_With_All_Data,5,FALSE))</f>
        <v>1</v>
      </c>
      <c r="E19" s="83">
        <v>-1</v>
      </c>
      <c r="AM19" s="83">
        <v>0</v>
      </c>
      <c r="BQ19" s="83">
        <v>-1</v>
      </c>
    </row>
    <row r="20" spans="1:70" x14ac:dyDescent="0.3">
      <c r="A20" s="87">
        <f t="shared" si="2"/>
        <v>19</v>
      </c>
      <c r="B20" s="83" t="b">
        <f>IF(ISBLANK(Requirements!C25),TRUE,VLOOKUP(Requirements!C25,Scens_With_All_Data,5,FALSE))</f>
        <v>1</v>
      </c>
      <c r="C20" s="83">
        <v>-1</v>
      </c>
    </row>
    <row r="21" spans="1:70" x14ac:dyDescent="0.3">
      <c r="A21" s="87">
        <f t="shared" si="2"/>
        <v>20</v>
      </c>
      <c r="B21" s="83" t="b">
        <f>IF(ISBLANK(Requirements!C26),TRUE,VLOOKUP(Requirements!C26,Scens_With_All_Data,5,FALSE))</f>
        <v>1</v>
      </c>
      <c r="D21" s="83">
        <v>0</v>
      </c>
    </row>
    <row r="22" spans="1:70" x14ac:dyDescent="0.3">
      <c r="A22" s="87">
        <f t="shared" si="2"/>
        <v>21</v>
      </c>
      <c r="B22" s="83" t="b">
        <f>IF(ISBLANK(Requirements!C27),TRUE,VLOOKUP(Requirements!C27,Scens_With_All_Data,5,FALSE))</f>
        <v>1</v>
      </c>
      <c r="D22" s="83">
        <v>0</v>
      </c>
      <c r="BB22" s="83">
        <v>1</v>
      </c>
    </row>
    <row r="23" spans="1:70" x14ac:dyDescent="0.3">
      <c r="A23" s="87">
        <f t="shared" si="2"/>
        <v>22</v>
      </c>
      <c r="B23" s="83" t="b">
        <f>IF(ISBLANK(Requirements!C28),TRUE,VLOOKUP(Requirements!C28,Scens_With_All_Data,5,FALSE))</f>
        <v>1</v>
      </c>
      <c r="D23" s="83">
        <v>0</v>
      </c>
      <c r="E23" s="83">
        <v>-1</v>
      </c>
      <c r="X23" s="83">
        <v>-1</v>
      </c>
      <c r="Y23" s="83">
        <v>0</v>
      </c>
      <c r="AX23" s="83">
        <v>-1</v>
      </c>
      <c r="BP23" s="83">
        <v>-1</v>
      </c>
      <c r="BQ23" s="83">
        <v>-1</v>
      </c>
      <c r="BR23" s="83">
        <v>1</v>
      </c>
    </row>
    <row r="24" spans="1:70" x14ac:dyDescent="0.3">
      <c r="A24" s="87">
        <f t="shared" si="2"/>
        <v>23</v>
      </c>
      <c r="B24" s="83" t="b">
        <f>IF(ISBLANK(Requirements!C29),TRUE,VLOOKUP(Requirements!C29,Scens_With_All_Data,5,FALSE))</f>
        <v>1</v>
      </c>
      <c r="G24" s="83">
        <v>0</v>
      </c>
    </row>
    <row r="25" spans="1:70" x14ac:dyDescent="0.3">
      <c r="A25" s="87">
        <f t="shared" si="2"/>
        <v>24</v>
      </c>
      <c r="B25" s="83" t="b">
        <f>IF(ISBLANK(Requirements!C30),TRUE,VLOOKUP(Requirements!C30,Scens_With_All_Data,5,FALSE))</f>
        <v>1</v>
      </c>
      <c r="K25" s="83">
        <v>0</v>
      </c>
    </row>
    <row r="26" spans="1:70" x14ac:dyDescent="0.3">
      <c r="A26" s="87">
        <f t="shared" si="2"/>
        <v>25</v>
      </c>
      <c r="B26" s="83" t="b">
        <f>IF(ISBLANK(Requirements!C31),TRUE,VLOOKUP(Requirements!C31,Scens_With_All_Data,5,FALSE))</f>
        <v>1</v>
      </c>
      <c r="K26" s="83">
        <v>0</v>
      </c>
      <c r="R26" s="83">
        <v>0</v>
      </c>
      <c r="AY26" s="83">
        <v>0</v>
      </c>
      <c r="BP26" s="83">
        <v>0</v>
      </c>
    </row>
    <row r="27" spans="1:70" x14ac:dyDescent="0.3">
      <c r="A27" s="87">
        <f t="shared" si="2"/>
        <v>26</v>
      </c>
      <c r="B27" s="83" t="b">
        <f>IF(ISBLANK(Requirements!C32),TRUE,VLOOKUP(Requirements!C32,Scens_With_All_Data,5,FALSE))</f>
        <v>1</v>
      </c>
      <c r="K27" s="83">
        <v>0</v>
      </c>
      <c r="AY27" s="83">
        <v>0</v>
      </c>
      <c r="BP27" s="83">
        <v>0</v>
      </c>
    </row>
    <row r="28" spans="1:70" x14ac:dyDescent="0.3">
      <c r="A28" s="87">
        <f t="shared" si="2"/>
        <v>27</v>
      </c>
      <c r="B28" s="83" t="b">
        <f>IF(ISBLANK(Requirements!C33),TRUE,VLOOKUP(Requirements!C33,Scens_With_All_Data,5,FALSE))</f>
        <v>1</v>
      </c>
      <c r="L28" s="83">
        <v>0</v>
      </c>
      <c r="S28" s="83">
        <v>0</v>
      </c>
      <c r="BP28" s="83">
        <v>-1</v>
      </c>
    </row>
    <row r="29" spans="1:70" x14ac:dyDescent="0.3">
      <c r="A29" s="87">
        <f t="shared" si="2"/>
        <v>28</v>
      </c>
      <c r="B29" s="83" t="b">
        <f>IF(ISBLANK(Requirements!C34),TRUE,VLOOKUP(Requirements!C34,Scens_With_All_Data,5,FALSE))</f>
        <v>1</v>
      </c>
      <c r="L29" s="83">
        <v>0</v>
      </c>
      <c r="S29" s="83">
        <v>0</v>
      </c>
    </row>
    <row r="30" spans="1:70" x14ac:dyDescent="0.3">
      <c r="A30" s="87">
        <f t="shared" si="2"/>
        <v>29</v>
      </c>
      <c r="B30" s="83" t="b">
        <f>IF(ISBLANK(Requirements!C35),TRUE,VLOOKUP(Requirements!C35,Scens_With_All_Data,5,FALSE))</f>
        <v>1</v>
      </c>
      <c r="M30" s="83">
        <v>0</v>
      </c>
      <c r="T30" s="83">
        <v>-1</v>
      </c>
      <c r="BP30" s="83">
        <v>0</v>
      </c>
    </row>
    <row r="31" spans="1:70" x14ac:dyDescent="0.3">
      <c r="A31" s="87">
        <f t="shared" si="2"/>
        <v>30</v>
      </c>
      <c r="B31" s="83" t="b">
        <f>IF(ISBLANK(Requirements!C36),TRUE,VLOOKUP(Requirements!C36,Scens_With_All_Data,5,FALSE))</f>
        <v>1</v>
      </c>
      <c r="M31" s="83">
        <v>0</v>
      </c>
      <c r="AI31" s="83">
        <v>0</v>
      </c>
      <c r="AT31" s="83">
        <v>0</v>
      </c>
      <c r="BP31" s="83">
        <v>0</v>
      </c>
      <c r="BQ31" s="83">
        <v>-1</v>
      </c>
    </row>
    <row r="32" spans="1:70" x14ac:dyDescent="0.3">
      <c r="A32" s="87">
        <f t="shared" si="2"/>
        <v>31</v>
      </c>
      <c r="B32" s="83" t="b">
        <f>IF(ISBLANK(Requirements!C37),TRUE,VLOOKUP(Requirements!C37,Scens_With_All_Data,5,FALSE))</f>
        <v>1</v>
      </c>
      <c r="M32" s="83">
        <v>0</v>
      </c>
      <c r="AY32" s="83">
        <v>0</v>
      </c>
      <c r="BP32" s="83">
        <v>-1</v>
      </c>
    </row>
    <row r="33" spans="1:76" x14ac:dyDescent="0.3">
      <c r="A33" s="87">
        <f t="shared" si="2"/>
        <v>32</v>
      </c>
      <c r="B33" s="83" t="b">
        <f>IF(ISBLANK(Requirements!C38),TRUE,VLOOKUP(Requirements!C38,Scens_With_All_Data,5,FALSE))</f>
        <v>1</v>
      </c>
      <c r="N33" s="83">
        <v>0</v>
      </c>
      <c r="U33" s="83">
        <v>0</v>
      </c>
      <c r="AA33" s="83">
        <v>0</v>
      </c>
      <c r="AH33" s="83">
        <v>0</v>
      </c>
      <c r="AI33" s="83">
        <v>0</v>
      </c>
      <c r="AJ33" s="83">
        <v>0</v>
      </c>
      <c r="AU33" s="83">
        <v>0</v>
      </c>
      <c r="AZ33" s="83">
        <v>0</v>
      </c>
      <c r="BP33" s="83">
        <v>-1</v>
      </c>
    </row>
    <row r="34" spans="1:76" x14ac:dyDescent="0.3">
      <c r="A34" s="87">
        <f t="shared" si="2"/>
        <v>33</v>
      </c>
      <c r="B34" s="83" t="b">
        <f>IF(ISBLANK(Requirements!C39),TRUE,VLOOKUP(Requirements!C39,Scens_With_All_Data,5,FALSE))</f>
        <v>1</v>
      </c>
      <c r="K34" s="83">
        <v>-1</v>
      </c>
      <c r="L34" s="83">
        <v>-1</v>
      </c>
      <c r="M34" s="83">
        <v>-1</v>
      </c>
      <c r="N34" s="83">
        <v>-1</v>
      </c>
      <c r="R34" s="83">
        <v>-1</v>
      </c>
      <c r="S34" s="83">
        <v>-1</v>
      </c>
      <c r="T34" s="83">
        <v>-1</v>
      </c>
      <c r="U34" s="83">
        <v>-1</v>
      </c>
      <c r="AA34" s="83">
        <v>-1</v>
      </c>
      <c r="AB34" s="83">
        <v>-1</v>
      </c>
      <c r="AC34" s="83">
        <v>-1</v>
      </c>
      <c r="AG34" s="83">
        <v>-2</v>
      </c>
      <c r="AH34" s="83">
        <v>-1</v>
      </c>
      <c r="AI34" s="83">
        <v>-1</v>
      </c>
      <c r="AJ34" s="83">
        <v>-1</v>
      </c>
      <c r="AR34" s="83">
        <v>-1</v>
      </c>
      <c r="AS34" s="83">
        <v>-1</v>
      </c>
      <c r="AT34" s="83">
        <v>-1</v>
      </c>
      <c r="AU34" s="83">
        <v>-1</v>
      </c>
      <c r="AY34" s="83">
        <v>-2</v>
      </c>
      <c r="AZ34" s="83">
        <v>-1</v>
      </c>
      <c r="BO34" s="83">
        <v>-2</v>
      </c>
      <c r="BP34" s="83">
        <v>-2</v>
      </c>
      <c r="BQ34" s="83">
        <v>-2</v>
      </c>
      <c r="BX34" s="83">
        <v>0</v>
      </c>
    </row>
    <row r="35" spans="1:76" x14ac:dyDescent="0.3">
      <c r="A35" s="87">
        <f t="shared" si="2"/>
        <v>34</v>
      </c>
      <c r="B35" s="83" t="b">
        <f>IF(ISBLANK(Requirements!C40),TRUE,VLOOKUP(Requirements!C40,Scens_With_All_Data,5,FALSE))</f>
        <v>1</v>
      </c>
      <c r="AG35" s="83">
        <v>0</v>
      </c>
      <c r="AH35" s="83">
        <v>0</v>
      </c>
      <c r="BP35" s="83">
        <v>-1</v>
      </c>
    </row>
    <row r="36" spans="1:76" x14ac:dyDescent="0.3">
      <c r="A36" s="87">
        <f t="shared" si="2"/>
        <v>35</v>
      </c>
      <c r="B36" s="83" t="b">
        <f>IF(ISBLANK(Requirements!C41),TRUE,VLOOKUP(Requirements!C41,Scens_With_All_Data,5,FALSE))</f>
        <v>1</v>
      </c>
      <c r="AI36" s="83">
        <v>0</v>
      </c>
      <c r="BP36" s="83">
        <v>-1</v>
      </c>
    </row>
    <row r="37" spans="1:76" x14ac:dyDescent="0.3">
      <c r="A37" s="87">
        <f t="shared" si="2"/>
        <v>36</v>
      </c>
      <c r="B37" s="83" t="b">
        <f>IF(ISBLANK(Requirements!C42),TRUE,VLOOKUP(Requirements!C42,Scens_With_All_Data,5,FALSE))</f>
        <v>1</v>
      </c>
      <c r="AR37" s="83">
        <v>0</v>
      </c>
      <c r="AS37" s="83">
        <v>0</v>
      </c>
      <c r="AY37" s="83">
        <v>-1</v>
      </c>
      <c r="BP37" s="83">
        <v>-1</v>
      </c>
    </row>
    <row r="38" spans="1:76" x14ac:dyDescent="0.3">
      <c r="A38" s="87">
        <f t="shared" si="2"/>
        <v>37</v>
      </c>
      <c r="B38" s="83" t="b">
        <f>IF(ISBLANK(Requirements!C43),TRUE,VLOOKUP(Requirements!C43,Scens_With_All_Data,5,FALSE))</f>
        <v>1</v>
      </c>
      <c r="AT38" s="83">
        <v>0</v>
      </c>
      <c r="AY38" s="83">
        <v>-1</v>
      </c>
      <c r="BP38" s="83">
        <v>-1</v>
      </c>
    </row>
    <row r="39" spans="1:76" x14ac:dyDescent="0.3">
      <c r="A39" s="87">
        <f t="shared" si="2"/>
        <v>38</v>
      </c>
      <c r="B39" s="83" t="b">
        <f>IF(ISBLANK(Requirements!C44),TRUE,VLOOKUP(Requirements!C44,Scens_With_All_Data,5,FALSE))</f>
        <v>1</v>
      </c>
      <c r="O39" s="83">
        <v>-1</v>
      </c>
    </row>
    <row r="40" spans="1:76" x14ac:dyDescent="0.3">
      <c r="A40" s="87">
        <f t="shared" si="2"/>
        <v>39</v>
      </c>
      <c r="B40" s="83" t="b">
        <f>IF(ISBLANK(Requirements!C45),TRUE,VLOOKUP(Requirements!C45,Scens_With_All_Data,5,FALSE))</f>
        <v>1</v>
      </c>
      <c r="T40" s="83">
        <v>0</v>
      </c>
      <c r="BP40" s="83">
        <v>-1</v>
      </c>
    </row>
    <row r="41" spans="1:76" x14ac:dyDescent="0.3">
      <c r="A41" s="87">
        <f t="shared" si="2"/>
        <v>40</v>
      </c>
      <c r="B41" s="83" t="b">
        <f>IF(ISBLANK(Requirements!C46),TRUE,VLOOKUP(Requirements!C46,Scens_With_All_Data,5,FALSE))</f>
        <v>1</v>
      </c>
      <c r="V41" s="83">
        <v>0</v>
      </c>
    </row>
    <row r="42" spans="1:76" x14ac:dyDescent="0.3">
      <c r="A42" s="87">
        <f t="shared" si="2"/>
        <v>41</v>
      </c>
      <c r="B42" s="83" t="b">
        <f>IF(ISBLANK(Requirements!C47),TRUE,VLOOKUP(Requirements!C47,Scens_With_All_Data,5,FALSE))</f>
        <v>1</v>
      </c>
      <c r="V42" s="83">
        <v>0</v>
      </c>
    </row>
    <row r="43" spans="1:76" x14ac:dyDescent="0.3">
      <c r="A43" s="87">
        <f t="shared" si="2"/>
        <v>42</v>
      </c>
      <c r="B43" s="83" t="b">
        <f>IF(ISBLANK(Requirements!C48),TRUE,VLOOKUP(Requirements!C48,Scens_With_All_Data,5,FALSE))</f>
        <v>1</v>
      </c>
      <c r="AB43" s="83">
        <v>0</v>
      </c>
      <c r="AI43" s="83">
        <v>0</v>
      </c>
      <c r="BP43" s="83">
        <v>-1</v>
      </c>
    </row>
    <row r="44" spans="1:76" x14ac:dyDescent="0.3">
      <c r="A44" s="87">
        <f t="shared" si="2"/>
        <v>43</v>
      </c>
      <c r="B44" s="83" t="b">
        <f>IF(ISBLANK(Requirements!C49),TRUE,VLOOKUP(Requirements!C49,Scens_With_All_Data,5,FALSE))</f>
        <v>1</v>
      </c>
      <c r="AC44" s="83">
        <v>0</v>
      </c>
      <c r="AD44" s="83">
        <v>0</v>
      </c>
      <c r="BP44" s="83">
        <v>-1</v>
      </c>
    </row>
    <row r="45" spans="1:76" x14ac:dyDescent="0.3">
      <c r="A45" s="87">
        <f t="shared" si="2"/>
        <v>44</v>
      </c>
      <c r="B45" s="83" t="b">
        <f>IF(ISBLANK(Requirements!C50),TRUE,VLOOKUP(Requirements!C50,Scens_With_All_Data,5,FALSE))</f>
        <v>1</v>
      </c>
      <c r="AG45" s="83">
        <v>-1</v>
      </c>
      <c r="AH45" s="83">
        <v>0</v>
      </c>
      <c r="BP45" s="83">
        <v>-1</v>
      </c>
    </row>
    <row r="46" spans="1:76" x14ac:dyDescent="0.3">
      <c r="A46" s="87">
        <f t="shared" si="2"/>
        <v>45</v>
      </c>
      <c r="B46" s="83" t="b">
        <f>IF(ISBLANK(Requirements!C51),TRUE,VLOOKUP(Requirements!C51,Scens_With_All_Data,5,FALSE))</f>
        <v>1</v>
      </c>
      <c r="AG46" s="83">
        <v>-1</v>
      </c>
      <c r="BP46" s="83">
        <v>0</v>
      </c>
    </row>
    <row r="47" spans="1:76" x14ac:dyDescent="0.3">
      <c r="A47" s="87">
        <f t="shared" si="2"/>
        <v>46</v>
      </c>
      <c r="B47" s="83" t="b">
        <f>IF(ISBLANK(Requirements!C52),TRUE,VLOOKUP(Requirements!C52,Scens_With_All_Data,5,FALSE))</f>
        <v>1</v>
      </c>
      <c r="AG47" s="83">
        <v>0</v>
      </c>
      <c r="AH47" s="83">
        <v>0</v>
      </c>
      <c r="BP47" s="83">
        <v>0</v>
      </c>
    </row>
    <row r="48" spans="1:76" x14ac:dyDescent="0.3">
      <c r="A48" s="87">
        <f t="shared" si="2"/>
        <v>47</v>
      </c>
      <c r="B48" s="83" t="b">
        <f>IF(ISBLANK(Requirements!C53),TRUE,VLOOKUP(Requirements!C53,Scens_With_All_Data,5,FALSE))</f>
        <v>1</v>
      </c>
      <c r="AI48" s="83">
        <v>0</v>
      </c>
      <c r="BP48" s="83">
        <v>-1</v>
      </c>
    </row>
    <row r="49" spans="1:73" x14ac:dyDescent="0.3">
      <c r="A49" s="87">
        <f t="shared" si="2"/>
        <v>48</v>
      </c>
      <c r="B49" s="83" t="b">
        <f>IF(ISBLANK(Requirements!C54),TRUE,VLOOKUP(Requirements!C54,Scens_With_All_Data,5,FALSE))</f>
        <v>1</v>
      </c>
      <c r="AY49" s="83">
        <v>-1</v>
      </c>
    </row>
    <row r="50" spans="1:73" x14ac:dyDescent="0.3">
      <c r="A50" s="87">
        <f t="shared" si="2"/>
        <v>49</v>
      </c>
      <c r="B50" s="83" t="b">
        <f>IF(ISBLANK(Requirements!C55),TRUE,VLOOKUP(Requirements!C55,Scens_With_All_Data,5,FALSE))</f>
        <v>1</v>
      </c>
      <c r="BO50" s="83">
        <v>0</v>
      </c>
    </row>
    <row r="51" spans="1:73" x14ac:dyDescent="0.3">
      <c r="A51" s="87">
        <f t="shared" si="2"/>
        <v>50</v>
      </c>
      <c r="B51" s="83" t="b">
        <f>IF(ISBLANK(Requirements!C56),TRUE,VLOOKUP(Requirements!C56,Scens_With_All_Data,5,FALSE))</f>
        <v>1</v>
      </c>
      <c r="BO51" s="83">
        <v>0</v>
      </c>
    </row>
    <row r="52" spans="1:73" x14ac:dyDescent="0.3">
      <c r="A52" s="87">
        <f t="shared" si="2"/>
        <v>51</v>
      </c>
      <c r="B52" s="83" t="b">
        <f>IF(ISBLANK(Requirements!C57),TRUE,VLOOKUP(Requirements!C57,Scens_With_All_Data,5,FALSE))</f>
        <v>1</v>
      </c>
      <c r="AE52" s="83">
        <v>1</v>
      </c>
      <c r="AO52" s="83">
        <v>1</v>
      </c>
    </row>
    <row r="53" spans="1:73" x14ac:dyDescent="0.3">
      <c r="A53" s="87">
        <f t="shared" si="2"/>
        <v>52</v>
      </c>
      <c r="B53" s="83" t="b">
        <f>IF(ISBLANK(Requirements!C58),TRUE,VLOOKUP(Requirements!C58,Scens_With_All_Data,5,FALSE))</f>
        <v>1</v>
      </c>
      <c r="AF53" s="83">
        <v>0</v>
      </c>
      <c r="AK53" s="83">
        <v>1</v>
      </c>
    </row>
    <row r="54" spans="1:73" x14ac:dyDescent="0.3">
      <c r="A54" s="87">
        <f t="shared" si="2"/>
        <v>53</v>
      </c>
      <c r="B54" s="83" t="b">
        <f>IF(ISBLANK(Requirements!C59),TRUE,VLOOKUP(Requirements!C59,Scens_With_All_Data,5,FALSE))</f>
        <v>1</v>
      </c>
      <c r="AL54" s="83">
        <v>0</v>
      </c>
    </row>
    <row r="55" spans="1:73" x14ac:dyDescent="0.3">
      <c r="A55" s="87">
        <f t="shared" si="2"/>
        <v>54</v>
      </c>
      <c r="B55" s="83" t="b">
        <f>IF(ISBLANK(Requirements!C60),TRUE,VLOOKUP(Requirements!C60,Scens_With_All_Data,5,FALSE))</f>
        <v>1</v>
      </c>
      <c r="AM55" s="83">
        <v>0</v>
      </c>
      <c r="AN55" s="83">
        <v>0</v>
      </c>
      <c r="AO55" s="83">
        <v>1</v>
      </c>
    </row>
    <row r="56" spans="1:73" x14ac:dyDescent="0.3">
      <c r="A56" s="87">
        <f t="shared" si="2"/>
        <v>55</v>
      </c>
      <c r="B56" s="83" t="b">
        <f>IF(ISBLANK(Requirements!C61),TRUE,VLOOKUP(Requirements!C61,Scens_With_All_Data,5,FALSE))</f>
        <v>1</v>
      </c>
      <c r="BA56" s="83">
        <v>0</v>
      </c>
      <c r="BR56" s="83">
        <v>1</v>
      </c>
      <c r="BU56" s="83">
        <v>2</v>
      </c>
    </row>
    <row r="57" spans="1:73" x14ac:dyDescent="0.3">
      <c r="A57" s="87">
        <f t="shared" si="2"/>
        <v>56</v>
      </c>
      <c r="B57" s="83" t="b">
        <f>IF(ISBLANK(Requirements!C62),TRUE,VLOOKUP(Requirements!C62,Scens_With_All_Data,5,FALSE))</f>
        <v>1</v>
      </c>
      <c r="BC57" s="83">
        <v>1</v>
      </c>
      <c r="BR57" s="83">
        <v>1</v>
      </c>
      <c r="BU57" s="83">
        <v>2</v>
      </c>
    </row>
    <row r="58" spans="1:73" x14ac:dyDescent="0.3">
      <c r="A58" s="87">
        <f t="shared" si="2"/>
        <v>57</v>
      </c>
      <c r="B58" s="83" t="b">
        <f>IF(ISBLANK(Requirements!C63),TRUE,VLOOKUP(Requirements!C63,Scens_With_All_Data,5,FALSE))</f>
        <v>1</v>
      </c>
      <c r="BD58" s="83">
        <v>0</v>
      </c>
      <c r="BF58" s="83">
        <v>0</v>
      </c>
    </row>
    <row r="59" spans="1:73" x14ac:dyDescent="0.3">
      <c r="A59" s="87">
        <f t="shared" si="2"/>
        <v>58</v>
      </c>
      <c r="B59" s="83" t="b">
        <f>IF(ISBLANK(Requirements!C64),TRUE,VLOOKUP(Requirements!C64,Scens_With_All_Data,5,FALSE))</f>
        <v>1</v>
      </c>
      <c r="BE59" s="83">
        <v>1</v>
      </c>
      <c r="BH59" s="83">
        <v>1</v>
      </c>
      <c r="BR59" s="83">
        <v>1</v>
      </c>
      <c r="BU59" s="83">
        <v>2</v>
      </c>
    </row>
    <row r="60" spans="1:73" x14ac:dyDescent="0.3">
      <c r="A60" s="87">
        <f t="shared" si="2"/>
        <v>59</v>
      </c>
      <c r="B60" s="83" t="b">
        <f>IF(ISBLANK(Requirements!C65),TRUE,VLOOKUP(Requirements!C65,Scens_With_All_Data,5,FALSE))</f>
        <v>0</v>
      </c>
      <c r="BG60" s="83">
        <v>1</v>
      </c>
    </row>
    <row r="61" spans="1:73" x14ac:dyDescent="0.3">
      <c r="A61" s="87">
        <f t="shared" si="2"/>
        <v>60</v>
      </c>
      <c r="B61" s="83" t="b">
        <f>IF(ISBLANK(Requirements!C66),TRUE,VLOOKUP(Requirements!C66,Scens_With_All_Data,5,FALSE))</f>
        <v>1</v>
      </c>
      <c r="BI61" s="83">
        <v>0</v>
      </c>
    </row>
    <row r="62" spans="1:73" x14ac:dyDescent="0.3">
      <c r="A62" s="87">
        <f t="shared" si="2"/>
        <v>61</v>
      </c>
      <c r="B62" s="83" t="b">
        <f>IF(ISBLANK(Requirements!C67),TRUE,VLOOKUP(Requirements!C67,Scens_With_All_Data,5,FALSE))</f>
        <v>1</v>
      </c>
      <c r="BJ62" s="83">
        <v>-1</v>
      </c>
      <c r="BL62" s="83">
        <v>1</v>
      </c>
      <c r="BR62" s="83">
        <v>1</v>
      </c>
      <c r="BS62" s="83">
        <v>-1</v>
      </c>
    </row>
    <row r="63" spans="1:73" x14ac:dyDescent="0.3">
      <c r="A63" s="87">
        <f t="shared" si="2"/>
        <v>62</v>
      </c>
      <c r="B63" s="83" t="b">
        <f>IF(ISBLANK(Requirements!C68),TRUE,VLOOKUP(Requirements!C68,Scens_With_All_Data,5,FALSE))</f>
        <v>1</v>
      </c>
      <c r="BK63" s="83">
        <v>-1</v>
      </c>
      <c r="BL63" s="83">
        <v>1</v>
      </c>
      <c r="BM63" s="83">
        <v>-1</v>
      </c>
      <c r="BN63" s="83">
        <v>2</v>
      </c>
      <c r="BR63" s="83">
        <v>1</v>
      </c>
      <c r="BS63" s="83">
        <v>-1</v>
      </c>
      <c r="BT63" s="83">
        <v>1</v>
      </c>
      <c r="BU63" s="83">
        <v>2</v>
      </c>
    </row>
    <row r="64" spans="1:73" x14ac:dyDescent="0.3">
      <c r="A64" s="87">
        <f t="shared" si="2"/>
        <v>63</v>
      </c>
      <c r="B64" s="83" t="e">
        <f>IF(ISBLANK(Requirements!#REF!),TRUE,VLOOKUP(Requirements!#REF!,Scens_With_All_Data,5,FALSE))</f>
        <v>#REF!</v>
      </c>
      <c r="BQ64" s="83">
        <v>-1</v>
      </c>
    </row>
    <row r="65" spans="1:75" x14ac:dyDescent="0.3">
      <c r="A65" s="87">
        <f t="shared" si="2"/>
        <v>64</v>
      </c>
      <c r="B65" s="83" t="b">
        <f>IF(ISBLANK(Requirements!C69),TRUE,VLOOKUP(Requirements!C69,Scens_With_All_Data,5,FALSE))</f>
        <v>1</v>
      </c>
      <c r="BT65" s="83">
        <v>1</v>
      </c>
      <c r="BU65" s="83">
        <v>2</v>
      </c>
    </row>
    <row r="66" spans="1:75" x14ac:dyDescent="0.3">
      <c r="A66" s="87">
        <f t="shared" si="2"/>
        <v>65</v>
      </c>
      <c r="B66" s="83" t="b">
        <f>IF(ISBLANK(Requirements!C70),TRUE,VLOOKUP(Requirements!C70,Scens_With_All_Data,5,FALSE))</f>
        <v>1</v>
      </c>
      <c r="BR66" s="83">
        <v>1</v>
      </c>
      <c r="BV66" s="83">
        <v>1</v>
      </c>
      <c r="BW66" s="83">
        <v>1</v>
      </c>
    </row>
    <row r="67" spans="1:75" x14ac:dyDescent="0.3">
      <c r="A67" s="87">
        <f t="shared" ref="A67:A130" si="3">ROW()-1</f>
        <v>66</v>
      </c>
      <c r="B67" s="83" t="b">
        <f>IF(ISBLANK(Requirements!C71),TRUE,VLOOKUP(Requirements!C71,Scens_With_All_Data,5,FALSE))</f>
        <v>1</v>
      </c>
      <c r="BR67" s="83">
        <v>1</v>
      </c>
      <c r="BV67" s="83">
        <v>1</v>
      </c>
      <c r="BW67" s="83">
        <v>1</v>
      </c>
    </row>
    <row r="68" spans="1:75" x14ac:dyDescent="0.3">
      <c r="A68" s="87">
        <f t="shared" si="3"/>
        <v>67</v>
      </c>
      <c r="B68" s="83" t="b">
        <f>IF(ISBLANK(Requirements!C72),TRUE,VLOOKUP(Requirements!C72,Scens_With_All_Data,5,FALSE))</f>
        <v>0</v>
      </c>
      <c r="BR68" s="83">
        <v>1</v>
      </c>
      <c r="BV68" s="83">
        <v>1</v>
      </c>
      <c r="BW68" s="83">
        <v>1</v>
      </c>
    </row>
    <row r="69" spans="1:75" x14ac:dyDescent="0.3">
      <c r="A69" s="87">
        <f t="shared" si="3"/>
        <v>68</v>
      </c>
      <c r="B69" s="83" t="b">
        <f>IF(ISBLANK(Requirements!C73),TRUE,VLOOKUP(Requirements!C73,Scens_With_All_Data,5,FALSE))</f>
        <v>1</v>
      </c>
      <c r="BR69" s="83">
        <v>1</v>
      </c>
      <c r="BV69" s="83">
        <v>1</v>
      </c>
      <c r="BW69" s="83">
        <v>1</v>
      </c>
    </row>
    <row r="70" spans="1:75" x14ac:dyDescent="0.3">
      <c r="A70" s="87">
        <f t="shared" si="3"/>
        <v>69</v>
      </c>
      <c r="B70" s="83" t="b">
        <f>IF(ISBLANK(Requirements!C74),TRUE,VLOOKUP(Requirements!C74,Scens_With_All_Data,5,FALSE))</f>
        <v>1</v>
      </c>
    </row>
    <row r="71" spans="1:75" x14ac:dyDescent="0.3">
      <c r="A71" s="87">
        <f t="shared" si="3"/>
        <v>70</v>
      </c>
      <c r="B71" s="83" t="b">
        <f>IF(ISBLANK(Requirements!C75),TRUE,VLOOKUP(Requirements!C75,Scens_With_All_Data,5,FALSE))</f>
        <v>1</v>
      </c>
    </row>
    <row r="72" spans="1:75" x14ac:dyDescent="0.3">
      <c r="A72" s="87">
        <f t="shared" si="3"/>
        <v>71</v>
      </c>
      <c r="B72" s="83" t="b">
        <f>IF(ISBLANK(Requirements!C76),TRUE,VLOOKUP(Requirements!C76,Scens_With_All_Data,5,FALSE))</f>
        <v>1</v>
      </c>
    </row>
    <row r="73" spans="1:75" x14ac:dyDescent="0.3">
      <c r="A73" s="87">
        <f t="shared" si="3"/>
        <v>72</v>
      </c>
      <c r="B73" s="83" t="b">
        <f>IF(ISBLANK(Requirements!C77),TRUE,VLOOKUP(Requirements!C77,Scens_With_All_Data,5,FALSE))</f>
        <v>1</v>
      </c>
    </row>
    <row r="74" spans="1:75" x14ac:dyDescent="0.3">
      <c r="A74" s="87">
        <f t="shared" si="3"/>
        <v>73</v>
      </c>
      <c r="B74" s="83" t="b">
        <f>IF(ISBLANK(Requirements!C78),TRUE,VLOOKUP(Requirements!C78,Scens_With_All_Data,5,FALSE))</f>
        <v>1</v>
      </c>
    </row>
    <row r="75" spans="1:75" x14ac:dyDescent="0.3">
      <c r="A75" s="87">
        <f t="shared" si="3"/>
        <v>74</v>
      </c>
      <c r="B75" s="83" t="b">
        <f>IF(ISBLANK(Requirements!C79),TRUE,VLOOKUP(Requirements!C79,Scens_With_All_Data,5,FALSE))</f>
        <v>1</v>
      </c>
    </row>
    <row r="76" spans="1:75" x14ac:dyDescent="0.3">
      <c r="A76" s="87">
        <f t="shared" si="3"/>
        <v>75</v>
      </c>
      <c r="B76" s="83" t="b">
        <f>IF(ISBLANK(Requirements!C80),TRUE,VLOOKUP(Requirements!C80,Scens_With_All_Data,5,FALSE))</f>
        <v>1</v>
      </c>
    </row>
    <row r="77" spans="1:75" x14ac:dyDescent="0.3">
      <c r="A77" s="87">
        <f t="shared" si="3"/>
        <v>76</v>
      </c>
      <c r="B77" s="83" t="b">
        <f>IF(ISBLANK(Requirements!C81),TRUE,VLOOKUP(Requirements!C81,Scens_With_All_Data,5,FALSE))</f>
        <v>1</v>
      </c>
    </row>
    <row r="78" spans="1:75" x14ac:dyDescent="0.3">
      <c r="A78" s="87">
        <f t="shared" si="3"/>
        <v>77</v>
      </c>
      <c r="B78" s="83" t="b">
        <f>IF(ISBLANK(Requirements!C82),TRUE,VLOOKUP(Requirements!C82,Scens_With_All_Data,5,FALSE))</f>
        <v>1</v>
      </c>
    </row>
    <row r="79" spans="1:75" x14ac:dyDescent="0.3">
      <c r="A79" s="87">
        <f t="shared" si="3"/>
        <v>78</v>
      </c>
      <c r="B79" s="83" t="b">
        <f>IF(ISBLANK(Requirements!C83),TRUE,VLOOKUP(Requirements!C83,Scens_With_All_Data,5,FALSE))</f>
        <v>1</v>
      </c>
    </row>
    <row r="80" spans="1:75" x14ac:dyDescent="0.3">
      <c r="A80" s="87">
        <f t="shared" si="3"/>
        <v>79</v>
      </c>
      <c r="B80" s="83" t="b">
        <f>IF(ISBLANK(Requirements!C84),TRUE,VLOOKUP(Requirements!C84,Scens_With_All_Data,5,FALSE))</f>
        <v>1</v>
      </c>
    </row>
    <row r="81" spans="1:2" x14ac:dyDescent="0.3">
      <c r="A81" s="87">
        <f t="shared" si="3"/>
        <v>80</v>
      </c>
      <c r="B81" s="83" t="b">
        <f>IF(ISBLANK(Requirements!C85),TRUE,VLOOKUP(Requirements!C85,Scens_With_All_Data,5,FALSE))</f>
        <v>1</v>
      </c>
    </row>
    <row r="82" spans="1:2" x14ac:dyDescent="0.3">
      <c r="A82" s="87">
        <f t="shared" si="3"/>
        <v>81</v>
      </c>
      <c r="B82" s="83" t="b">
        <f>IF(ISBLANK(Requirements!C86),TRUE,VLOOKUP(Requirements!C86,Scens_With_All_Data,5,FALSE))</f>
        <v>1</v>
      </c>
    </row>
    <row r="83" spans="1:2" x14ac:dyDescent="0.3">
      <c r="A83" s="87">
        <f t="shared" si="3"/>
        <v>82</v>
      </c>
      <c r="B83" s="83" t="b">
        <f>IF(ISBLANK(Requirements!C87),TRUE,VLOOKUP(Requirements!C87,Scens_With_All_Data,5,FALSE))</f>
        <v>1</v>
      </c>
    </row>
    <row r="84" spans="1:2" x14ac:dyDescent="0.3">
      <c r="A84" s="87">
        <f t="shared" si="3"/>
        <v>83</v>
      </c>
      <c r="B84" s="83" t="b">
        <f>IF(ISBLANK(Requirements!C88),TRUE,VLOOKUP(Requirements!C88,Scens_With_All_Data,5,FALSE))</f>
        <v>1</v>
      </c>
    </row>
    <row r="85" spans="1:2" x14ac:dyDescent="0.3">
      <c r="A85" s="87">
        <f t="shared" si="3"/>
        <v>84</v>
      </c>
      <c r="B85" s="83" t="b">
        <f>IF(ISBLANK(Requirements!C89),TRUE,VLOOKUP(Requirements!C89,Scens_With_All_Data,5,FALSE))</f>
        <v>1</v>
      </c>
    </row>
    <row r="86" spans="1:2" x14ac:dyDescent="0.3">
      <c r="A86" s="87">
        <f t="shared" si="3"/>
        <v>85</v>
      </c>
      <c r="B86" s="83" t="b">
        <f>IF(ISBLANK(Requirements!C90),TRUE,VLOOKUP(Requirements!C90,Scens_With_All_Data,5,FALSE))</f>
        <v>1</v>
      </c>
    </row>
    <row r="87" spans="1:2" x14ac:dyDescent="0.3">
      <c r="A87" s="87">
        <f t="shared" si="3"/>
        <v>86</v>
      </c>
      <c r="B87" s="83" t="b">
        <f>IF(ISBLANK(Requirements!C91),TRUE,VLOOKUP(Requirements!C91,Scens_With_All_Data,5,FALSE))</f>
        <v>1</v>
      </c>
    </row>
    <row r="88" spans="1:2" x14ac:dyDescent="0.3">
      <c r="A88" s="87">
        <f t="shared" si="3"/>
        <v>87</v>
      </c>
      <c r="B88" s="83" t="b">
        <f>IF(ISBLANK(Requirements!C92),TRUE,VLOOKUP(Requirements!C92,Scens_With_All_Data,5,FALSE))</f>
        <v>1</v>
      </c>
    </row>
    <row r="89" spans="1:2" x14ac:dyDescent="0.3">
      <c r="A89" s="87">
        <f t="shared" si="3"/>
        <v>88</v>
      </c>
      <c r="B89" s="83" t="b">
        <f>IF(ISBLANK(Requirements!C93),TRUE,VLOOKUP(Requirements!C93,Scens_With_All_Data,5,FALSE))</f>
        <v>1</v>
      </c>
    </row>
    <row r="90" spans="1:2" x14ac:dyDescent="0.3">
      <c r="A90" s="87">
        <f t="shared" si="3"/>
        <v>89</v>
      </c>
      <c r="B90" s="83" t="b">
        <f>IF(ISBLANK(Requirements!C94),TRUE,VLOOKUP(Requirements!C94,Scens_With_All_Data,5,FALSE))</f>
        <v>1</v>
      </c>
    </row>
    <row r="91" spans="1:2" x14ac:dyDescent="0.3">
      <c r="A91" s="87">
        <f t="shared" si="3"/>
        <v>90</v>
      </c>
      <c r="B91" s="83" t="b">
        <f>IF(ISBLANK(Requirements!C95),TRUE,VLOOKUP(Requirements!C95,Scens_With_All_Data,5,FALSE))</f>
        <v>1</v>
      </c>
    </row>
    <row r="92" spans="1:2" x14ac:dyDescent="0.3">
      <c r="A92" s="87">
        <f t="shared" si="3"/>
        <v>91</v>
      </c>
      <c r="B92" s="83" t="b">
        <f>IF(ISBLANK(Requirements!C96),TRUE,VLOOKUP(Requirements!C96,Scens_With_All_Data,5,FALSE))</f>
        <v>1</v>
      </c>
    </row>
    <row r="93" spans="1:2" x14ac:dyDescent="0.3">
      <c r="A93" s="87">
        <f t="shared" si="3"/>
        <v>92</v>
      </c>
      <c r="B93" s="83" t="b">
        <f>IF(ISBLANK(Requirements!C97),TRUE,VLOOKUP(Requirements!C97,Scens_With_All_Data,5,FALSE))</f>
        <v>1</v>
      </c>
    </row>
    <row r="94" spans="1:2" x14ac:dyDescent="0.3">
      <c r="A94" s="87">
        <f t="shared" si="3"/>
        <v>93</v>
      </c>
      <c r="B94" s="83" t="b">
        <f>IF(ISBLANK(Requirements!C98),TRUE,VLOOKUP(Requirements!C98,Scens_With_All_Data,5,FALSE))</f>
        <v>1</v>
      </c>
    </row>
    <row r="95" spans="1:2" x14ac:dyDescent="0.3">
      <c r="A95" s="87">
        <f t="shared" si="3"/>
        <v>94</v>
      </c>
      <c r="B95" s="83" t="b">
        <f>IF(ISBLANK(Requirements!C99),TRUE,VLOOKUP(Requirements!C99,Scens_With_All_Data,5,FALSE))</f>
        <v>1</v>
      </c>
    </row>
    <row r="96" spans="1:2" x14ac:dyDescent="0.3">
      <c r="A96" s="87">
        <f t="shared" si="3"/>
        <v>95</v>
      </c>
      <c r="B96" s="83" t="b">
        <f>IF(ISBLANK(Requirements!C100),TRUE,VLOOKUP(Requirements!C100,Scens_With_All_Data,5,FALSE))</f>
        <v>1</v>
      </c>
    </row>
    <row r="97" spans="1:2" x14ac:dyDescent="0.3">
      <c r="A97" s="87">
        <f t="shared" si="3"/>
        <v>96</v>
      </c>
      <c r="B97" s="83" t="b">
        <f>IF(ISBLANK(Requirements!C101),TRUE,VLOOKUP(Requirements!C101,Scens_With_All_Data,5,FALSE))</f>
        <v>1</v>
      </c>
    </row>
    <row r="98" spans="1:2" x14ac:dyDescent="0.3">
      <c r="A98" s="87">
        <f t="shared" si="3"/>
        <v>97</v>
      </c>
      <c r="B98" s="83" t="b">
        <f>IF(ISBLANK(Requirements!C102),TRUE,VLOOKUP(Requirements!C102,Scens_With_All_Data,5,FALSE))</f>
        <v>1</v>
      </c>
    </row>
    <row r="99" spans="1:2" x14ac:dyDescent="0.3">
      <c r="A99" s="87">
        <f t="shared" si="3"/>
        <v>98</v>
      </c>
      <c r="B99" s="83" t="b">
        <f>IF(ISBLANK(Requirements!C103),TRUE,VLOOKUP(Requirements!C103,Scens_With_All_Data,5,FALSE))</f>
        <v>1</v>
      </c>
    </row>
    <row r="100" spans="1:2" x14ac:dyDescent="0.3">
      <c r="A100" s="87">
        <f t="shared" si="3"/>
        <v>99</v>
      </c>
      <c r="B100" s="83" t="b">
        <f>IF(ISBLANK(Requirements!C104),TRUE,VLOOKUP(Requirements!C104,Scens_With_All_Data,5,FALSE))</f>
        <v>1</v>
      </c>
    </row>
    <row r="101" spans="1:2" x14ac:dyDescent="0.3">
      <c r="A101" s="87">
        <f t="shared" si="3"/>
        <v>100</v>
      </c>
      <c r="B101" s="83" t="b">
        <f>IF(ISBLANK(Requirements!C105),TRUE,VLOOKUP(Requirements!C105,Scens_With_All_Data,5,FALSE))</f>
        <v>1</v>
      </c>
    </row>
    <row r="102" spans="1:2" x14ac:dyDescent="0.3">
      <c r="A102" s="87">
        <f t="shared" si="3"/>
        <v>101</v>
      </c>
      <c r="B102" s="83" t="b">
        <f>IF(ISBLANK(Requirements!C106),TRUE,VLOOKUP(Requirements!C106,Scens_With_All_Data,5,FALSE))</f>
        <v>1</v>
      </c>
    </row>
    <row r="103" spans="1:2" x14ac:dyDescent="0.3">
      <c r="A103" s="87">
        <f t="shared" si="3"/>
        <v>102</v>
      </c>
      <c r="B103" s="83" t="b">
        <f>IF(ISBLANK(Requirements!C107),TRUE,VLOOKUP(Requirements!C107,Scens_With_All_Data,5,FALSE))</f>
        <v>1</v>
      </c>
    </row>
    <row r="104" spans="1:2" x14ac:dyDescent="0.3">
      <c r="A104" s="87">
        <f t="shared" si="3"/>
        <v>103</v>
      </c>
      <c r="B104" s="83" t="b">
        <f>IF(ISBLANK(Requirements!C108),TRUE,VLOOKUP(Requirements!C108,Scens_With_All_Data,5,FALSE))</f>
        <v>1</v>
      </c>
    </row>
    <row r="105" spans="1:2" x14ac:dyDescent="0.3">
      <c r="A105" s="87">
        <f t="shared" si="3"/>
        <v>104</v>
      </c>
      <c r="B105" s="83" t="b">
        <f>IF(ISBLANK(Requirements!C109),TRUE,VLOOKUP(Requirements!C109,Scens_With_All_Data,5,FALSE))</f>
        <v>1</v>
      </c>
    </row>
    <row r="106" spans="1:2" x14ac:dyDescent="0.3">
      <c r="A106" s="87">
        <f t="shared" si="3"/>
        <v>105</v>
      </c>
      <c r="B106" s="83" t="b">
        <f>IF(ISBLANK(Requirements!C110),TRUE,VLOOKUP(Requirements!C110,Scens_With_All_Data,5,FALSE))</f>
        <v>1</v>
      </c>
    </row>
    <row r="107" spans="1:2" x14ac:dyDescent="0.3">
      <c r="A107" s="87">
        <f t="shared" si="3"/>
        <v>106</v>
      </c>
      <c r="B107" s="83" t="b">
        <f>IF(ISBLANK(Requirements!C111),TRUE,VLOOKUP(Requirements!C111,Scens_With_All_Data,5,FALSE))</f>
        <v>1</v>
      </c>
    </row>
    <row r="108" spans="1:2" x14ac:dyDescent="0.3">
      <c r="A108" s="87">
        <f t="shared" si="3"/>
        <v>107</v>
      </c>
      <c r="B108" s="83" t="b">
        <f>IF(ISBLANK(Requirements!C112),TRUE,VLOOKUP(Requirements!C112,Scens_With_All_Data,5,FALSE))</f>
        <v>1</v>
      </c>
    </row>
    <row r="109" spans="1:2" x14ac:dyDescent="0.3">
      <c r="A109" s="87">
        <f t="shared" si="3"/>
        <v>108</v>
      </c>
      <c r="B109" s="83" t="b">
        <f>IF(ISBLANK(Requirements!C113),TRUE,VLOOKUP(Requirements!C113,Scens_With_All_Data,5,FALSE))</f>
        <v>1</v>
      </c>
    </row>
    <row r="110" spans="1:2" x14ac:dyDescent="0.3">
      <c r="A110" s="87">
        <f t="shared" si="3"/>
        <v>109</v>
      </c>
      <c r="B110" s="83" t="b">
        <f>IF(ISBLANK(Requirements!C114),TRUE,VLOOKUP(Requirements!C114,Scens_With_All_Data,5,FALSE))</f>
        <v>1</v>
      </c>
    </row>
    <row r="111" spans="1:2" x14ac:dyDescent="0.3">
      <c r="A111" s="87">
        <f t="shared" si="3"/>
        <v>110</v>
      </c>
      <c r="B111" s="83" t="b">
        <f>IF(ISBLANK(Requirements!C115),TRUE,VLOOKUP(Requirements!C115,Scens_With_All_Data,5,FALSE))</f>
        <v>1</v>
      </c>
    </row>
    <row r="112" spans="1:2" x14ac:dyDescent="0.3">
      <c r="A112" s="87">
        <f t="shared" si="3"/>
        <v>111</v>
      </c>
      <c r="B112" s="83" t="b">
        <f>IF(ISBLANK(Requirements!C116),TRUE,VLOOKUP(Requirements!C116,Scens_With_All_Data,5,FALSE))</f>
        <v>1</v>
      </c>
    </row>
    <row r="113" spans="1:2" x14ac:dyDescent="0.3">
      <c r="A113" s="87">
        <f t="shared" si="3"/>
        <v>112</v>
      </c>
      <c r="B113" s="83" t="b">
        <f>IF(ISBLANK(Requirements!C117),TRUE,VLOOKUP(Requirements!C117,Scens_With_All_Data,5,FALSE))</f>
        <v>1</v>
      </c>
    </row>
    <row r="114" spans="1:2" x14ac:dyDescent="0.3">
      <c r="A114" s="87">
        <f t="shared" si="3"/>
        <v>113</v>
      </c>
      <c r="B114" s="83" t="b">
        <f>IF(ISBLANK(Requirements!C118),TRUE,VLOOKUP(Requirements!C118,Scens_With_All_Data,5,FALSE))</f>
        <v>1</v>
      </c>
    </row>
    <row r="115" spans="1:2" x14ac:dyDescent="0.3">
      <c r="A115" s="87">
        <f t="shared" si="3"/>
        <v>114</v>
      </c>
      <c r="B115" s="83" t="b">
        <f>IF(ISBLANK(Requirements!C119),TRUE,VLOOKUP(Requirements!C119,Scens_With_All_Data,5,FALSE))</f>
        <v>1</v>
      </c>
    </row>
    <row r="116" spans="1:2" x14ac:dyDescent="0.3">
      <c r="A116" s="87">
        <f t="shared" si="3"/>
        <v>115</v>
      </c>
      <c r="B116" s="83" t="b">
        <f>IF(ISBLANK(Requirements!C120),TRUE,VLOOKUP(Requirements!C120,Scens_With_All_Data,5,FALSE))</f>
        <v>1</v>
      </c>
    </row>
    <row r="117" spans="1:2" x14ac:dyDescent="0.3">
      <c r="A117" s="87">
        <f t="shared" si="3"/>
        <v>116</v>
      </c>
      <c r="B117" s="83" t="b">
        <f>IF(ISBLANK(Requirements!C121),TRUE,VLOOKUP(Requirements!C121,Scens_With_All_Data,5,FALSE))</f>
        <v>1</v>
      </c>
    </row>
    <row r="118" spans="1:2" x14ac:dyDescent="0.3">
      <c r="A118" s="87">
        <f t="shared" si="3"/>
        <v>117</v>
      </c>
      <c r="B118" s="83" t="b">
        <f>IF(ISBLANK(Requirements!C122),TRUE,VLOOKUP(Requirements!C122,Scens_With_All_Data,5,FALSE))</f>
        <v>1</v>
      </c>
    </row>
    <row r="119" spans="1:2" x14ac:dyDescent="0.3">
      <c r="A119" s="87">
        <f t="shared" si="3"/>
        <v>118</v>
      </c>
      <c r="B119" s="83" t="b">
        <f>IF(ISBLANK(Requirements!C123),TRUE,VLOOKUP(Requirements!C123,Scens_With_All_Data,5,FALSE))</f>
        <v>1</v>
      </c>
    </row>
    <row r="120" spans="1:2" x14ac:dyDescent="0.3">
      <c r="A120" s="87">
        <f t="shared" si="3"/>
        <v>119</v>
      </c>
      <c r="B120" s="83" t="b">
        <f>IF(ISBLANK(Requirements!C124),TRUE,VLOOKUP(Requirements!C124,Scens_With_All_Data,5,FALSE))</f>
        <v>1</v>
      </c>
    </row>
    <row r="121" spans="1:2" x14ac:dyDescent="0.3">
      <c r="A121" s="87">
        <f t="shared" si="3"/>
        <v>120</v>
      </c>
      <c r="B121" s="83" t="b">
        <f>IF(ISBLANK(Requirements!C125),TRUE,VLOOKUP(Requirements!C125,Scens_With_All_Data,5,FALSE))</f>
        <v>1</v>
      </c>
    </row>
    <row r="122" spans="1:2" x14ac:dyDescent="0.3">
      <c r="A122" s="87">
        <f t="shared" si="3"/>
        <v>121</v>
      </c>
      <c r="B122" s="83" t="b">
        <f>IF(ISBLANK(Requirements!C126),TRUE,VLOOKUP(Requirements!C126,Scens_With_All_Data,5,FALSE))</f>
        <v>1</v>
      </c>
    </row>
    <row r="123" spans="1:2" x14ac:dyDescent="0.3">
      <c r="A123" s="87">
        <f t="shared" si="3"/>
        <v>122</v>
      </c>
      <c r="B123" s="83" t="b">
        <f>IF(ISBLANK(Requirements!C127),TRUE,VLOOKUP(Requirements!C127,Scens_With_All_Data,5,FALSE))</f>
        <v>1</v>
      </c>
    </row>
    <row r="124" spans="1:2" x14ac:dyDescent="0.3">
      <c r="A124" s="87">
        <f t="shared" si="3"/>
        <v>123</v>
      </c>
      <c r="B124" s="83" t="b">
        <f>IF(ISBLANK(Requirements!C128),TRUE,VLOOKUP(Requirements!C128,Scens_With_All_Data,5,FALSE))</f>
        <v>1</v>
      </c>
    </row>
    <row r="125" spans="1:2" x14ac:dyDescent="0.3">
      <c r="A125" s="87">
        <f t="shared" si="3"/>
        <v>124</v>
      </c>
      <c r="B125" s="83" t="b">
        <f>IF(ISBLANK(Requirements!C129),TRUE,VLOOKUP(Requirements!C129,Scens_With_All_Data,5,FALSE))</f>
        <v>1</v>
      </c>
    </row>
    <row r="126" spans="1:2" x14ac:dyDescent="0.3">
      <c r="A126" s="87">
        <f t="shared" si="3"/>
        <v>125</v>
      </c>
      <c r="B126" s="83" t="b">
        <f>IF(ISBLANK(Requirements!C130),TRUE,VLOOKUP(Requirements!C130,Scens_With_All_Data,5,FALSE))</f>
        <v>1</v>
      </c>
    </row>
    <row r="127" spans="1:2" x14ac:dyDescent="0.3">
      <c r="A127" s="87">
        <f t="shared" si="3"/>
        <v>126</v>
      </c>
      <c r="B127" s="83" t="b">
        <f>IF(ISBLANK(Requirements!C131),TRUE,VLOOKUP(Requirements!C131,Scens_With_All_Data,5,FALSE))</f>
        <v>1</v>
      </c>
    </row>
    <row r="128" spans="1:2" x14ac:dyDescent="0.3">
      <c r="A128" s="87">
        <f t="shared" si="3"/>
        <v>127</v>
      </c>
      <c r="B128" s="83" t="b">
        <f>IF(ISBLANK(Requirements!C132),TRUE,VLOOKUP(Requirements!C132,Scens_With_All_Data,5,FALSE))</f>
        <v>1</v>
      </c>
    </row>
    <row r="129" spans="1:2" x14ac:dyDescent="0.3">
      <c r="A129" s="87">
        <f t="shared" si="3"/>
        <v>128</v>
      </c>
      <c r="B129" s="83" t="b">
        <f>IF(ISBLANK(Requirements!C133),TRUE,VLOOKUP(Requirements!C133,Scens_With_All_Data,5,FALSE))</f>
        <v>1</v>
      </c>
    </row>
    <row r="130" spans="1:2" x14ac:dyDescent="0.3">
      <c r="A130" s="87">
        <f t="shared" si="3"/>
        <v>129</v>
      </c>
      <c r="B130" s="83" t="b">
        <f>IF(ISBLANK(Requirements!C134),TRUE,VLOOKUP(Requirements!C134,Scens_With_All_Data,5,FALSE))</f>
        <v>1</v>
      </c>
    </row>
    <row r="131" spans="1:2" x14ac:dyDescent="0.3">
      <c r="A131" s="87">
        <f t="shared" ref="A131:A194" si="4">ROW()-1</f>
        <v>130</v>
      </c>
      <c r="B131" s="83" t="b">
        <f>IF(ISBLANK(Requirements!C135),TRUE,VLOOKUP(Requirements!C135,Scens_With_All_Data,5,FALSE))</f>
        <v>1</v>
      </c>
    </row>
    <row r="132" spans="1:2" x14ac:dyDescent="0.3">
      <c r="A132" s="87">
        <f t="shared" si="4"/>
        <v>131</v>
      </c>
      <c r="B132" s="83" t="b">
        <f>IF(ISBLANK(Requirements!C136),TRUE,VLOOKUP(Requirements!C136,Scens_With_All_Data,5,FALSE))</f>
        <v>1</v>
      </c>
    </row>
    <row r="133" spans="1:2" x14ac:dyDescent="0.3">
      <c r="A133" s="87">
        <f t="shared" si="4"/>
        <v>132</v>
      </c>
      <c r="B133" s="83" t="b">
        <f>IF(ISBLANK(Requirements!C137),TRUE,VLOOKUP(Requirements!C137,Scens_With_All_Data,5,FALSE))</f>
        <v>1</v>
      </c>
    </row>
    <row r="134" spans="1:2" x14ac:dyDescent="0.3">
      <c r="A134" s="87">
        <f t="shared" si="4"/>
        <v>133</v>
      </c>
      <c r="B134" s="83" t="b">
        <f>IF(ISBLANK(Requirements!C138),TRUE,VLOOKUP(Requirements!C138,Scens_With_All_Data,5,FALSE))</f>
        <v>1</v>
      </c>
    </row>
    <row r="135" spans="1:2" x14ac:dyDescent="0.3">
      <c r="A135" s="87">
        <f t="shared" si="4"/>
        <v>134</v>
      </c>
      <c r="B135" s="83" t="b">
        <f>IF(ISBLANK(Requirements!C139),TRUE,VLOOKUP(Requirements!C139,Scens_With_All_Data,5,FALSE))</f>
        <v>1</v>
      </c>
    </row>
    <row r="136" spans="1:2" x14ac:dyDescent="0.3">
      <c r="A136" s="87">
        <f t="shared" si="4"/>
        <v>135</v>
      </c>
      <c r="B136" s="83" t="b">
        <f>IF(ISBLANK(Requirements!C140),TRUE,VLOOKUP(Requirements!C140,Scens_With_All_Data,5,FALSE))</f>
        <v>1</v>
      </c>
    </row>
    <row r="137" spans="1:2" x14ac:dyDescent="0.3">
      <c r="A137" s="87">
        <f t="shared" si="4"/>
        <v>136</v>
      </c>
      <c r="B137" s="83" t="b">
        <f>IF(ISBLANK(Requirements!C141),TRUE,VLOOKUP(Requirements!C141,Scens_With_All_Data,5,FALSE))</f>
        <v>1</v>
      </c>
    </row>
    <row r="138" spans="1:2" x14ac:dyDescent="0.3">
      <c r="A138" s="87">
        <f t="shared" si="4"/>
        <v>137</v>
      </c>
      <c r="B138" s="83" t="b">
        <f>IF(ISBLANK(Requirements!C142),TRUE,VLOOKUP(Requirements!C142,Scens_With_All_Data,5,FALSE))</f>
        <v>1</v>
      </c>
    </row>
    <row r="139" spans="1:2" x14ac:dyDescent="0.3">
      <c r="A139" s="87">
        <f t="shared" si="4"/>
        <v>138</v>
      </c>
      <c r="B139" s="83" t="b">
        <f>IF(ISBLANK(Requirements!C143),TRUE,VLOOKUP(Requirements!C143,Scens_With_All_Data,5,FALSE))</f>
        <v>1</v>
      </c>
    </row>
    <row r="140" spans="1:2" x14ac:dyDescent="0.3">
      <c r="A140" s="87">
        <f t="shared" si="4"/>
        <v>139</v>
      </c>
      <c r="B140" s="83" t="b">
        <f>IF(ISBLANK(Requirements!C144),TRUE,VLOOKUP(Requirements!C144,Scens_With_All_Data,5,FALSE))</f>
        <v>1</v>
      </c>
    </row>
    <row r="141" spans="1:2" x14ac:dyDescent="0.3">
      <c r="A141" s="87">
        <f t="shared" si="4"/>
        <v>140</v>
      </c>
      <c r="B141" s="83" t="b">
        <f>IF(ISBLANK(Requirements!C145),TRUE,VLOOKUP(Requirements!C145,Scens_With_All_Data,5,FALSE))</f>
        <v>1</v>
      </c>
    </row>
    <row r="142" spans="1:2" x14ac:dyDescent="0.3">
      <c r="A142" s="87">
        <f t="shared" si="4"/>
        <v>141</v>
      </c>
      <c r="B142" s="83" t="b">
        <f>IF(ISBLANK(Requirements!C146),TRUE,VLOOKUP(Requirements!C146,Scens_With_All_Data,5,FALSE))</f>
        <v>1</v>
      </c>
    </row>
    <row r="143" spans="1:2" x14ac:dyDescent="0.3">
      <c r="A143" s="87">
        <f t="shared" si="4"/>
        <v>142</v>
      </c>
      <c r="B143" s="83" t="b">
        <f>IF(ISBLANK(Requirements!C147),TRUE,VLOOKUP(Requirements!C147,Scens_With_All_Data,5,FALSE))</f>
        <v>1</v>
      </c>
    </row>
    <row r="144" spans="1:2" x14ac:dyDescent="0.3">
      <c r="A144" s="87">
        <f t="shared" si="4"/>
        <v>143</v>
      </c>
      <c r="B144" s="83" t="b">
        <f>IF(ISBLANK(Requirements!C148),TRUE,VLOOKUP(Requirements!C148,Scens_With_All_Data,5,FALSE))</f>
        <v>1</v>
      </c>
    </row>
    <row r="145" spans="1:2" x14ac:dyDescent="0.3">
      <c r="A145" s="87">
        <f t="shared" si="4"/>
        <v>144</v>
      </c>
      <c r="B145" s="83" t="b">
        <f>IF(ISBLANK(Requirements!C149),TRUE,VLOOKUP(Requirements!C149,Scens_With_All_Data,5,FALSE))</f>
        <v>1</v>
      </c>
    </row>
    <row r="146" spans="1:2" x14ac:dyDescent="0.3">
      <c r="A146" s="87">
        <f t="shared" si="4"/>
        <v>145</v>
      </c>
      <c r="B146" s="83" t="b">
        <f>IF(ISBLANK(Requirements!C150),TRUE,VLOOKUP(Requirements!C150,Scens_With_All_Data,5,FALSE))</f>
        <v>1</v>
      </c>
    </row>
    <row r="147" spans="1:2" x14ac:dyDescent="0.3">
      <c r="A147" s="87">
        <f t="shared" si="4"/>
        <v>146</v>
      </c>
      <c r="B147" s="83" t="b">
        <f>IF(ISBLANK(Requirements!C151),TRUE,VLOOKUP(Requirements!C151,Scens_With_All_Data,5,FALSE))</f>
        <v>1</v>
      </c>
    </row>
    <row r="148" spans="1:2" x14ac:dyDescent="0.3">
      <c r="A148" s="87">
        <f t="shared" si="4"/>
        <v>147</v>
      </c>
      <c r="B148" s="83" t="b">
        <f>IF(ISBLANK(Requirements!C152),TRUE,VLOOKUP(Requirements!C152,Scens_With_All_Data,5,FALSE))</f>
        <v>1</v>
      </c>
    </row>
    <row r="149" spans="1:2" x14ac:dyDescent="0.3">
      <c r="A149" s="87">
        <f t="shared" si="4"/>
        <v>148</v>
      </c>
      <c r="B149" s="83" t="b">
        <f>IF(ISBLANK(Requirements!C153),TRUE,VLOOKUP(Requirements!C153,Scens_With_All_Data,5,FALSE))</f>
        <v>1</v>
      </c>
    </row>
    <row r="150" spans="1:2" x14ac:dyDescent="0.3">
      <c r="A150" s="87">
        <f t="shared" si="4"/>
        <v>149</v>
      </c>
      <c r="B150" s="83" t="b">
        <f>IF(ISBLANK(Requirements!C154),TRUE,VLOOKUP(Requirements!C154,Scens_With_All_Data,5,FALSE))</f>
        <v>1</v>
      </c>
    </row>
    <row r="151" spans="1:2" x14ac:dyDescent="0.3">
      <c r="A151" s="87">
        <f t="shared" si="4"/>
        <v>150</v>
      </c>
      <c r="B151" s="83" t="b">
        <f>IF(ISBLANK(Requirements!C155),TRUE,VLOOKUP(Requirements!C155,Scens_With_All_Data,5,FALSE))</f>
        <v>1</v>
      </c>
    </row>
    <row r="152" spans="1:2" x14ac:dyDescent="0.3">
      <c r="A152" s="87">
        <f t="shared" si="4"/>
        <v>151</v>
      </c>
      <c r="B152" s="83" t="b">
        <f>IF(ISBLANK(Requirements!C156),TRUE,VLOOKUP(Requirements!C156,Scens_With_All_Data,5,FALSE))</f>
        <v>1</v>
      </c>
    </row>
    <row r="153" spans="1:2" x14ac:dyDescent="0.3">
      <c r="A153" s="87">
        <f t="shared" si="4"/>
        <v>152</v>
      </c>
      <c r="B153" s="83" t="b">
        <f>IF(ISBLANK(Requirements!C157),TRUE,VLOOKUP(Requirements!C157,Scens_With_All_Data,5,FALSE))</f>
        <v>1</v>
      </c>
    </row>
    <row r="154" spans="1:2" x14ac:dyDescent="0.3">
      <c r="A154" s="87">
        <f t="shared" si="4"/>
        <v>153</v>
      </c>
      <c r="B154" s="83" t="b">
        <f>IF(ISBLANK(Requirements!C158),TRUE,VLOOKUP(Requirements!C158,Scens_With_All_Data,5,FALSE))</f>
        <v>1</v>
      </c>
    </row>
    <row r="155" spans="1:2" x14ac:dyDescent="0.3">
      <c r="A155" s="87">
        <f t="shared" si="4"/>
        <v>154</v>
      </c>
      <c r="B155" s="83" t="b">
        <f>IF(ISBLANK(Requirements!C159),TRUE,VLOOKUP(Requirements!C159,Scens_With_All_Data,5,FALSE))</f>
        <v>1</v>
      </c>
    </row>
    <row r="156" spans="1:2" x14ac:dyDescent="0.3">
      <c r="A156" s="87">
        <f t="shared" si="4"/>
        <v>155</v>
      </c>
      <c r="B156" s="83" t="b">
        <f>IF(ISBLANK(Requirements!C160),TRUE,VLOOKUP(Requirements!C160,Scens_With_All_Data,5,FALSE))</f>
        <v>1</v>
      </c>
    </row>
    <row r="157" spans="1:2" x14ac:dyDescent="0.3">
      <c r="A157" s="87">
        <f t="shared" si="4"/>
        <v>156</v>
      </c>
      <c r="B157" s="83" t="b">
        <f>IF(ISBLANK(Requirements!C161),TRUE,VLOOKUP(Requirements!C161,Scens_With_All_Data,5,FALSE))</f>
        <v>1</v>
      </c>
    </row>
    <row r="158" spans="1:2" x14ac:dyDescent="0.3">
      <c r="A158" s="87">
        <f t="shared" si="4"/>
        <v>157</v>
      </c>
      <c r="B158" s="83" t="b">
        <f>IF(ISBLANK(Requirements!C162),TRUE,VLOOKUP(Requirements!C162,Scens_With_All_Data,5,FALSE))</f>
        <v>1</v>
      </c>
    </row>
    <row r="159" spans="1:2" x14ac:dyDescent="0.3">
      <c r="A159" s="87">
        <f t="shared" si="4"/>
        <v>158</v>
      </c>
      <c r="B159" s="83" t="b">
        <f>IF(ISBLANK(Requirements!C163),TRUE,VLOOKUP(Requirements!C163,Scens_With_All_Data,5,FALSE))</f>
        <v>1</v>
      </c>
    </row>
    <row r="160" spans="1:2" x14ac:dyDescent="0.3">
      <c r="A160" s="87">
        <f t="shared" si="4"/>
        <v>159</v>
      </c>
      <c r="B160" s="83" t="b">
        <f>IF(ISBLANK(Requirements!C164),TRUE,VLOOKUP(Requirements!C164,Scens_With_All_Data,5,FALSE))</f>
        <v>1</v>
      </c>
    </row>
    <row r="161" spans="1:2" x14ac:dyDescent="0.3">
      <c r="A161" s="87">
        <f t="shared" si="4"/>
        <v>160</v>
      </c>
      <c r="B161" s="83" t="b">
        <f>IF(ISBLANK(Requirements!C165),TRUE,VLOOKUP(Requirements!C165,Scens_With_All_Data,5,FALSE))</f>
        <v>1</v>
      </c>
    </row>
    <row r="162" spans="1:2" x14ac:dyDescent="0.3">
      <c r="A162" s="87">
        <f t="shared" si="4"/>
        <v>161</v>
      </c>
      <c r="B162" s="83" t="b">
        <f>IF(ISBLANK(Requirements!C166),TRUE,VLOOKUP(Requirements!C166,Scens_With_All_Data,5,FALSE))</f>
        <v>1</v>
      </c>
    </row>
    <row r="163" spans="1:2" x14ac:dyDescent="0.3">
      <c r="A163" s="87">
        <f t="shared" si="4"/>
        <v>162</v>
      </c>
      <c r="B163" s="83" t="b">
        <f>IF(ISBLANK(Requirements!C167),TRUE,VLOOKUP(Requirements!C167,Scens_With_All_Data,5,FALSE))</f>
        <v>1</v>
      </c>
    </row>
    <row r="164" spans="1:2" x14ac:dyDescent="0.3">
      <c r="A164" s="87">
        <f t="shared" si="4"/>
        <v>163</v>
      </c>
      <c r="B164" s="83" t="b">
        <f>IF(ISBLANK(Requirements!C168),TRUE,VLOOKUP(Requirements!C168,Scens_With_All_Data,5,FALSE))</f>
        <v>1</v>
      </c>
    </row>
    <row r="165" spans="1:2" x14ac:dyDescent="0.3">
      <c r="A165" s="87">
        <f t="shared" si="4"/>
        <v>164</v>
      </c>
      <c r="B165" s="83" t="b">
        <f>IF(ISBLANK(Requirements!C169),TRUE,VLOOKUP(Requirements!C169,Scens_With_All_Data,5,FALSE))</f>
        <v>1</v>
      </c>
    </row>
    <row r="166" spans="1:2" x14ac:dyDescent="0.3">
      <c r="A166" s="87">
        <f t="shared" si="4"/>
        <v>165</v>
      </c>
      <c r="B166" s="83" t="b">
        <f>IF(ISBLANK(Requirements!C170),TRUE,VLOOKUP(Requirements!C170,Scens_With_All_Data,5,FALSE))</f>
        <v>1</v>
      </c>
    </row>
    <row r="167" spans="1:2" x14ac:dyDescent="0.3">
      <c r="A167" s="87">
        <f t="shared" si="4"/>
        <v>166</v>
      </c>
      <c r="B167" s="83" t="b">
        <f>IF(ISBLANK(Requirements!C171),TRUE,VLOOKUP(Requirements!C171,Scens_With_All_Data,5,FALSE))</f>
        <v>1</v>
      </c>
    </row>
    <row r="168" spans="1:2" x14ac:dyDescent="0.3">
      <c r="A168" s="87">
        <f t="shared" si="4"/>
        <v>167</v>
      </c>
      <c r="B168" s="83" t="b">
        <f>IF(ISBLANK(Requirements!C172),TRUE,VLOOKUP(Requirements!C172,Scens_With_All_Data,5,FALSE))</f>
        <v>1</v>
      </c>
    </row>
    <row r="169" spans="1:2" x14ac:dyDescent="0.3">
      <c r="A169" s="87">
        <f t="shared" si="4"/>
        <v>168</v>
      </c>
      <c r="B169" s="83" t="b">
        <f>IF(ISBLANK(Requirements!C173),TRUE,VLOOKUP(Requirements!C173,Scens_With_All_Data,5,FALSE))</f>
        <v>1</v>
      </c>
    </row>
    <row r="170" spans="1:2" x14ac:dyDescent="0.3">
      <c r="A170" s="87">
        <f t="shared" si="4"/>
        <v>169</v>
      </c>
      <c r="B170" s="83" t="b">
        <f>IF(ISBLANK(Requirements!C174),TRUE,VLOOKUP(Requirements!C174,Scens_With_All_Data,5,FALSE))</f>
        <v>1</v>
      </c>
    </row>
    <row r="171" spans="1:2" x14ac:dyDescent="0.3">
      <c r="A171" s="87">
        <f t="shared" si="4"/>
        <v>170</v>
      </c>
      <c r="B171" s="83" t="b">
        <f>IF(ISBLANK(Requirements!C175),TRUE,VLOOKUP(Requirements!C175,Scens_With_All_Data,5,FALSE))</f>
        <v>1</v>
      </c>
    </row>
    <row r="172" spans="1:2" x14ac:dyDescent="0.3">
      <c r="A172" s="87">
        <f t="shared" si="4"/>
        <v>171</v>
      </c>
      <c r="B172" s="83" t="b">
        <f>IF(ISBLANK(Requirements!C176),TRUE,VLOOKUP(Requirements!C176,Scens_With_All_Data,5,FALSE))</f>
        <v>1</v>
      </c>
    </row>
    <row r="173" spans="1:2" x14ac:dyDescent="0.3">
      <c r="A173" s="87">
        <f t="shared" si="4"/>
        <v>172</v>
      </c>
      <c r="B173" s="83" t="b">
        <f>IF(ISBLANK(Requirements!C177),TRUE,VLOOKUP(Requirements!C177,Scens_With_All_Data,5,FALSE))</f>
        <v>1</v>
      </c>
    </row>
    <row r="174" spans="1:2" x14ac:dyDescent="0.3">
      <c r="A174" s="87">
        <f t="shared" si="4"/>
        <v>173</v>
      </c>
      <c r="B174" s="83" t="b">
        <f>IF(ISBLANK(Requirements!C178),TRUE,VLOOKUP(Requirements!C178,Scens_With_All_Data,5,FALSE))</f>
        <v>1</v>
      </c>
    </row>
    <row r="175" spans="1:2" x14ac:dyDescent="0.3">
      <c r="A175" s="87">
        <f t="shared" si="4"/>
        <v>174</v>
      </c>
      <c r="B175" s="83" t="b">
        <f>IF(ISBLANK(Requirements!C179),TRUE,VLOOKUP(Requirements!C179,Scens_With_All_Data,5,FALSE))</f>
        <v>1</v>
      </c>
    </row>
    <row r="176" spans="1:2" x14ac:dyDescent="0.3">
      <c r="A176" s="87">
        <f t="shared" si="4"/>
        <v>175</v>
      </c>
      <c r="B176" s="83" t="b">
        <f>IF(ISBLANK(Requirements!C180),TRUE,VLOOKUP(Requirements!C180,Scens_With_All_Data,5,FALSE))</f>
        <v>1</v>
      </c>
    </row>
    <row r="177" spans="1:2" x14ac:dyDescent="0.3">
      <c r="A177" s="87">
        <f t="shared" si="4"/>
        <v>176</v>
      </c>
      <c r="B177" s="83" t="b">
        <f>IF(ISBLANK(Requirements!C181),TRUE,VLOOKUP(Requirements!C181,Scens_With_All_Data,5,FALSE))</f>
        <v>1</v>
      </c>
    </row>
    <row r="178" spans="1:2" x14ac:dyDescent="0.3">
      <c r="A178" s="87">
        <f t="shared" si="4"/>
        <v>177</v>
      </c>
      <c r="B178" s="83" t="b">
        <f>IF(ISBLANK(Requirements!C182),TRUE,VLOOKUP(Requirements!C182,Scens_With_All_Data,5,FALSE))</f>
        <v>1</v>
      </c>
    </row>
    <row r="179" spans="1:2" x14ac:dyDescent="0.3">
      <c r="A179" s="87">
        <f t="shared" si="4"/>
        <v>178</v>
      </c>
      <c r="B179" s="83" t="b">
        <f>IF(ISBLANK(Requirements!C183),TRUE,VLOOKUP(Requirements!C183,Scens_With_All_Data,5,FALSE))</f>
        <v>1</v>
      </c>
    </row>
    <row r="180" spans="1:2" x14ac:dyDescent="0.3">
      <c r="A180" s="87">
        <f t="shared" si="4"/>
        <v>179</v>
      </c>
      <c r="B180" s="83" t="b">
        <f>IF(ISBLANK(Requirements!C184),TRUE,VLOOKUP(Requirements!C184,Scens_With_All_Data,5,FALSE))</f>
        <v>1</v>
      </c>
    </row>
    <row r="181" spans="1:2" x14ac:dyDescent="0.3">
      <c r="A181" s="87">
        <f t="shared" si="4"/>
        <v>180</v>
      </c>
      <c r="B181" s="83" t="b">
        <f>IF(ISBLANK(Requirements!C185),TRUE,VLOOKUP(Requirements!C185,Scens_With_All_Data,5,FALSE))</f>
        <v>1</v>
      </c>
    </row>
    <row r="182" spans="1:2" x14ac:dyDescent="0.3">
      <c r="A182" s="87">
        <f t="shared" si="4"/>
        <v>181</v>
      </c>
      <c r="B182" s="83" t="b">
        <f>IF(ISBLANK(Requirements!C186),TRUE,VLOOKUP(Requirements!C186,Scens_With_All_Data,5,FALSE))</f>
        <v>1</v>
      </c>
    </row>
    <row r="183" spans="1:2" x14ac:dyDescent="0.3">
      <c r="A183" s="87">
        <f t="shared" si="4"/>
        <v>182</v>
      </c>
      <c r="B183" s="83" t="b">
        <f>IF(ISBLANK(Requirements!C187),TRUE,VLOOKUP(Requirements!C187,Scens_With_All_Data,5,FALSE))</f>
        <v>1</v>
      </c>
    </row>
    <row r="184" spans="1:2" x14ac:dyDescent="0.3">
      <c r="A184" s="87">
        <f t="shared" si="4"/>
        <v>183</v>
      </c>
      <c r="B184" s="83" t="b">
        <f>IF(ISBLANK(Requirements!C188),TRUE,VLOOKUP(Requirements!C188,Scens_With_All_Data,5,FALSE))</f>
        <v>1</v>
      </c>
    </row>
    <row r="185" spans="1:2" x14ac:dyDescent="0.3">
      <c r="A185" s="87">
        <f t="shared" si="4"/>
        <v>184</v>
      </c>
      <c r="B185" s="83" t="b">
        <f>IF(ISBLANK(Requirements!C189),TRUE,VLOOKUP(Requirements!C189,Scens_With_All_Data,5,FALSE))</f>
        <v>1</v>
      </c>
    </row>
    <row r="186" spans="1:2" x14ac:dyDescent="0.3">
      <c r="A186" s="87">
        <f t="shared" si="4"/>
        <v>185</v>
      </c>
      <c r="B186" s="83" t="b">
        <f>IF(ISBLANK(Requirements!C190),TRUE,VLOOKUP(Requirements!C190,Scens_With_All_Data,5,FALSE))</f>
        <v>1</v>
      </c>
    </row>
    <row r="187" spans="1:2" x14ac:dyDescent="0.3">
      <c r="A187" s="87">
        <f t="shared" si="4"/>
        <v>186</v>
      </c>
      <c r="B187" s="83" t="b">
        <f>IF(ISBLANK(Requirements!C191),TRUE,VLOOKUP(Requirements!C191,Scens_With_All_Data,5,FALSE))</f>
        <v>1</v>
      </c>
    </row>
    <row r="188" spans="1:2" x14ac:dyDescent="0.3">
      <c r="A188" s="87">
        <f t="shared" si="4"/>
        <v>187</v>
      </c>
      <c r="B188" s="83" t="b">
        <f>IF(ISBLANK(Requirements!C192),TRUE,VLOOKUP(Requirements!C192,Scens_With_All_Data,5,FALSE))</f>
        <v>1</v>
      </c>
    </row>
    <row r="189" spans="1:2" x14ac:dyDescent="0.3">
      <c r="A189" s="87">
        <f t="shared" si="4"/>
        <v>188</v>
      </c>
      <c r="B189" s="83" t="b">
        <f>IF(ISBLANK(Requirements!C193),TRUE,VLOOKUP(Requirements!C193,Scens_With_All_Data,5,FALSE))</f>
        <v>1</v>
      </c>
    </row>
    <row r="190" spans="1:2" x14ac:dyDescent="0.3">
      <c r="A190" s="87">
        <f t="shared" si="4"/>
        <v>189</v>
      </c>
      <c r="B190" s="83" t="b">
        <f>IF(ISBLANK(Requirements!C194),TRUE,VLOOKUP(Requirements!C194,Scens_With_All_Data,5,FALSE))</f>
        <v>1</v>
      </c>
    </row>
    <row r="191" spans="1:2" x14ac:dyDescent="0.3">
      <c r="A191" s="87">
        <f t="shared" si="4"/>
        <v>190</v>
      </c>
      <c r="B191" s="83" t="b">
        <f>IF(ISBLANK(Requirements!C195),TRUE,VLOOKUP(Requirements!C195,Scens_With_All_Data,5,FALSE))</f>
        <v>1</v>
      </c>
    </row>
    <row r="192" spans="1:2" x14ac:dyDescent="0.3">
      <c r="A192" s="87">
        <f t="shared" si="4"/>
        <v>191</v>
      </c>
      <c r="B192" s="83" t="b">
        <f>IF(ISBLANK(Requirements!C196),TRUE,VLOOKUP(Requirements!C196,Scens_With_All_Data,5,FALSE))</f>
        <v>1</v>
      </c>
    </row>
    <row r="193" spans="1:2" x14ac:dyDescent="0.3">
      <c r="A193" s="87">
        <f t="shared" si="4"/>
        <v>192</v>
      </c>
      <c r="B193" s="83" t="b">
        <f>IF(ISBLANK(Requirements!C197),TRUE,VLOOKUP(Requirements!C197,Scens_With_All_Data,5,FALSE))</f>
        <v>1</v>
      </c>
    </row>
    <row r="194" spans="1:2" x14ac:dyDescent="0.3">
      <c r="A194" s="87">
        <f t="shared" si="4"/>
        <v>193</v>
      </c>
      <c r="B194" s="83" t="b">
        <f>IF(ISBLANK(Requirements!C198),TRUE,VLOOKUP(Requirements!C198,Scens_With_All_Data,5,FALSE))</f>
        <v>1</v>
      </c>
    </row>
    <row r="195" spans="1:2" x14ac:dyDescent="0.3">
      <c r="A195" s="87">
        <f t="shared" ref="A195:A258" si="5">ROW()-1</f>
        <v>194</v>
      </c>
      <c r="B195" s="83" t="b">
        <f>IF(ISBLANK(Requirements!C199),TRUE,VLOOKUP(Requirements!C199,Scens_With_All_Data,5,FALSE))</f>
        <v>1</v>
      </c>
    </row>
    <row r="196" spans="1:2" x14ac:dyDescent="0.3">
      <c r="A196" s="87">
        <f t="shared" si="5"/>
        <v>195</v>
      </c>
      <c r="B196" s="83" t="b">
        <f>IF(ISBLANK(Requirements!C200),TRUE,VLOOKUP(Requirements!C200,Scens_With_All_Data,5,FALSE))</f>
        <v>1</v>
      </c>
    </row>
    <row r="197" spans="1:2" x14ac:dyDescent="0.3">
      <c r="A197" s="87">
        <f t="shared" si="5"/>
        <v>196</v>
      </c>
      <c r="B197" s="83" t="b">
        <f>IF(ISBLANK(Requirements!C201),TRUE,VLOOKUP(Requirements!C201,Scens_With_All_Data,5,FALSE))</f>
        <v>1</v>
      </c>
    </row>
    <row r="198" spans="1:2" x14ac:dyDescent="0.3">
      <c r="A198" s="87">
        <f t="shared" si="5"/>
        <v>197</v>
      </c>
      <c r="B198" s="83" t="b">
        <f>IF(ISBLANK(Requirements!C202),TRUE,VLOOKUP(Requirements!C202,Scens_With_All_Data,5,FALSE))</f>
        <v>1</v>
      </c>
    </row>
    <row r="199" spans="1:2" x14ac:dyDescent="0.3">
      <c r="A199" s="87">
        <f t="shared" si="5"/>
        <v>198</v>
      </c>
      <c r="B199" s="83" t="b">
        <f>IF(ISBLANK(Requirements!C203),TRUE,VLOOKUP(Requirements!C203,Scens_With_All_Data,5,FALSE))</f>
        <v>1</v>
      </c>
    </row>
    <row r="200" spans="1:2" x14ac:dyDescent="0.3">
      <c r="A200" s="87">
        <f t="shared" si="5"/>
        <v>199</v>
      </c>
      <c r="B200" s="83" t="b">
        <f>IF(ISBLANK(Requirements!C204),TRUE,VLOOKUP(Requirements!C204,Scens_With_All_Data,5,FALSE))</f>
        <v>1</v>
      </c>
    </row>
    <row r="201" spans="1:2" x14ac:dyDescent="0.3">
      <c r="A201" s="87">
        <f t="shared" si="5"/>
        <v>200</v>
      </c>
      <c r="B201" s="83" t="b">
        <f>IF(ISBLANK(Requirements!C205),TRUE,VLOOKUP(Requirements!C205,Scens_With_All_Data,5,FALSE))</f>
        <v>1</v>
      </c>
    </row>
    <row r="202" spans="1:2" x14ac:dyDescent="0.3">
      <c r="A202" s="87">
        <f t="shared" si="5"/>
        <v>201</v>
      </c>
      <c r="B202" s="83" t="b">
        <f>IF(ISBLANK(Requirements!C206),TRUE,VLOOKUP(Requirements!C206,Scens_With_All_Data,5,FALSE))</f>
        <v>1</v>
      </c>
    </row>
    <row r="203" spans="1:2" x14ac:dyDescent="0.3">
      <c r="A203" s="87">
        <f t="shared" si="5"/>
        <v>202</v>
      </c>
      <c r="B203" s="83" t="b">
        <f>IF(ISBLANK(Requirements!C207),TRUE,VLOOKUP(Requirements!C207,Scens_With_All_Data,5,FALSE))</f>
        <v>1</v>
      </c>
    </row>
    <row r="204" spans="1:2" x14ac:dyDescent="0.3">
      <c r="A204" s="87">
        <f t="shared" si="5"/>
        <v>203</v>
      </c>
      <c r="B204" s="83" t="b">
        <f>IF(ISBLANK(Requirements!C208),TRUE,VLOOKUP(Requirements!C208,Scens_With_All_Data,5,FALSE))</f>
        <v>1</v>
      </c>
    </row>
    <row r="205" spans="1:2" x14ac:dyDescent="0.3">
      <c r="A205" s="87">
        <f t="shared" si="5"/>
        <v>204</v>
      </c>
      <c r="B205" s="83" t="b">
        <f>IF(ISBLANK(Requirements!C209),TRUE,VLOOKUP(Requirements!C209,Scens_With_All_Data,5,FALSE))</f>
        <v>1</v>
      </c>
    </row>
    <row r="206" spans="1:2" x14ac:dyDescent="0.3">
      <c r="A206" s="87">
        <f t="shared" si="5"/>
        <v>205</v>
      </c>
      <c r="B206" s="83" t="b">
        <f>IF(ISBLANK(Requirements!C210),TRUE,VLOOKUP(Requirements!C210,Scens_With_All_Data,5,FALSE))</f>
        <v>1</v>
      </c>
    </row>
    <row r="207" spans="1:2" x14ac:dyDescent="0.3">
      <c r="A207" s="87">
        <f t="shared" si="5"/>
        <v>206</v>
      </c>
      <c r="B207" s="83" t="b">
        <f>IF(ISBLANK(Requirements!C211),TRUE,VLOOKUP(Requirements!C211,Scens_With_All_Data,5,FALSE))</f>
        <v>1</v>
      </c>
    </row>
    <row r="208" spans="1:2" x14ac:dyDescent="0.3">
      <c r="A208" s="87">
        <f t="shared" si="5"/>
        <v>207</v>
      </c>
      <c r="B208" s="83" t="b">
        <f>IF(ISBLANK(Requirements!C212),TRUE,VLOOKUP(Requirements!C212,Scens_With_All_Data,5,FALSE))</f>
        <v>1</v>
      </c>
    </row>
    <row r="209" spans="1:2" x14ac:dyDescent="0.3">
      <c r="A209" s="87">
        <f t="shared" si="5"/>
        <v>208</v>
      </c>
      <c r="B209" s="83" t="b">
        <f>IF(ISBLANK(Requirements!C213),TRUE,VLOOKUP(Requirements!C213,Scens_With_All_Data,5,FALSE))</f>
        <v>1</v>
      </c>
    </row>
    <row r="210" spans="1:2" x14ac:dyDescent="0.3">
      <c r="A210" s="87">
        <f t="shared" si="5"/>
        <v>209</v>
      </c>
      <c r="B210" s="83" t="b">
        <f>IF(ISBLANK(Requirements!C214),TRUE,VLOOKUP(Requirements!C214,Scens_With_All_Data,5,FALSE))</f>
        <v>1</v>
      </c>
    </row>
    <row r="211" spans="1:2" x14ac:dyDescent="0.3">
      <c r="A211" s="87">
        <f t="shared" si="5"/>
        <v>210</v>
      </c>
      <c r="B211" s="83" t="b">
        <f>IF(ISBLANK(Requirements!C215),TRUE,VLOOKUP(Requirements!C215,Scens_With_All_Data,5,FALSE))</f>
        <v>1</v>
      </c>
    </row>
    <row r="212" spans="1:2" x14ac:dyDescent="0.3">
      <c r="A212" s="87">
        <f t="shared" si="5"/>
        <v>211</v>
      </c>
      <c r="B212" s="83" t="b">
        <f>IF(ISBLANK(Requirements!C216),TRUE,VLOOKUP(Requirements!C216,Scens_With_All_Data,5,FALSE))</f>
        <v>1</v>
      </c>
    </row>
    <row r="213" spans="1:2" x14ac:dyDescent="0.3">
      <c r="A213" s="87">
        <f t="shared" si="5"/>
        <v>212</v>
      </c>
      <c r="B213" s="83" t="b">
        <f>IF(ISBLANK(Requirements!C217),TRUE,VLOOKUP(Requirements!C217,Scens_With_All_Data,5,FALSE))</f>
        <v>1</v>
      </c>
    </row>
    <row r="214" spans="1:2" x14ac:dyDescent="0.3">
      <c r="A214" s="87">
        <f t="shared" si="5"/>
        <v>213</v>
      </c>
      <c r="B214" s="83" t="b">
        <f>IF(ISBLANK(Requirements!C218),TRUE,VLOOKUP(Requirements!C218,Scens_With_All_Data,5,FALSE))</f>
        <v>1</v>
      </c>
    </row>
    <row r="215" spans="1:2" x14ac:dyDescent="0.3">
      <c r="A215" s="87">
        <f t="shared" si="5"/>
        <v>214</v>
      </c>
      <c r="B215" s="83" t="b">
        <f>IF(ISBLANK(Requirements!C219),TRUE,VLOOKUP(Requirements!C219,Scens_With_All_Data,5,FALSE))</f>
        <v>1</v>
      </c>
    </row>
    <row r="216" spans="1:2" x14ac:dyDescent="0.3">
      <c r="A216" s="87">
        <f t="shared" si="5"/>
        <v>215</v>
      </c>
      <c r="B216" s="83" t="b">
        <f>IF(ISBLANK(Requirements!C220),TRUE,VLOOKUP(Requirements!C220,Scens_With_All_Data,5,FALSE))</f>
        <v>1</v>
      </c>
    </row>
    <row r="217" spans="1:2" x14ac:dyDescent="0.3">
      <c r="A217" s="87">
        <f t="shared" si="5"/>
        <v>216</v>
      </c>
      <c r="B217" s="83" t="b">
        <f>IF(ISBLANK(Requirements!C221),TRUE,VLOOKUP(Requirements!C221,Scens_With_All_Data,5,FALSE))</f>
        <v>1</v>
      </c>
    </row>
    <row r="218" spans="1:2" x14ac:dyDescent="0.3">
      <c r="A218" s="87">
        <f t="shared" si="5"/>
        <v>217</v>
      </c>
      <c r="B218" s="83" t="b">
        <f>IF(ISBLANK(Requirements!C222),TRUE,VLOOKUP(Requirements!C222,Scens_With_All_Data,5,FALSE))</f>
        <v>1</v>
      </c>
    </row>
    <row r="219" spans="1:2" x14ac:dyDescent="0.3">
      <c r="A219" s="87">
        <f t="shared" si="5"/>
        <v>218</v>
      </c>
      <c r="B219" s="83" t="b">
        <f>IF(ISBLANK(Requirements!C223),TRUE,VLOOKUP(Requirements!C223,Scens_With_All_Data,5,FALSE))</f>
        <v>1</v>
      </c>
    </row>
    <row r="220" spans="1:2" x14ac:dyDescent="0.3">
      <c r="A220" s="87">
        <f t="shared" si="5"/>
        <v>219</v>
      </c>
      <c r="B220" s="83" t="b">
        <f>IF(ISBLANK(Requirements!C224),TRUE,VLOOKUP(Requirements!C224,Scens_With_All_Data,5,FALSE))</f>
        <v>1</v>
      </c>
    </row>
    <row r="221" spans="1:2" x14ac:dyDescent="0.3">
      <c r="A221" s="87">
        <f t="shared" si="5"/>
        <v>220</v>
      </c>
      <c r="B221" s="83" t="b">
        <f>IF(ISBLANK(Requirements!C225),TRUE,VLOOKUP(Requirements!C225,Scens_With_All_Data,5,FALSE))</f>
        <v>1</v>
      </c>
    </row>
    <row r="222" spans="1:2" x14ac:dyDescent="0.3">
      <c r="A222" s="87">
        <f t="shared" si="5"/>
        <v>221</v>
      </c>
      <c r="B222" s="83" t="b">
        <f>IF(ISBLANK(Requirements!C226),TRUE,VLOOKUP(Requirements!C226,Scens_With_All_Data,5,FALSE))</f>
        <v>1</v>
      </c>
    </row>
    <row r="223" spans="1:2" x14ac:dyDescent="0.3">
      <c r="A223" s="87">
        <f t="shared" si="5"/>
        <v>222</v>
      </c>
      <c r="B223" s="83" t="b">
        <f>IF(ISBLANK(Requirements!C227),TRUE,VLOOKUP(Requirements!C227,Scens_With_All_Data,5,FALSE))</f>
        <v>1</v>
      </c>
    </row>
    <row r="224" spans="1:2" x14ac:dyDescent="0.3">
      <c r="A224" s="87">
        <f t="shared" si="5"/>
        <v>223</v>
      </c>
      <c r="B224" s="83" t="b">
        <f>IF(ISBLANK(Requirements!C228),TRUE,VLOOKUP(Requirements!C228,Scens_With_All_Data,5,FALSE))</f>
        <v>1</v>
      </c>
    </row>
    <row r="225" spans="1:2" x14ac:dyDescent="0.3">
      <c r="A225" s="87">
        <f t="shared" si="5"/>
        <v>224</v>
      </c>
      <c r="B225" s="83" t="b">
        <f>IF(ISBLANK(Requirements!C229),TRUE,VLOOKUP(Requirements!C229,Scens_With_All_Data,5,FALSE))</f>
        <v>1</v>
      </c>
    </row>
    <row r="226" spans="1:2" x14ac:dyDescent="0.3">
      <c r="A226" s="87">
        <f t="shared" si="5"/>
        <v>225</v>
      </c>
      <c r="B226" s="83" t="b">
        <f>IF(ISBLANK(Requirements!C230),TRUE,VLOOKUP(Requirements!C230,Scens_With_All_Data,5,FALSE))</f>
        <v>1</v>
      </c>
    </row>
    <row r="227" spans="1:2" x14ac:dyDescent="0.3">
      <c r="A227" s="87">
        <f t="shared" si="5"/>
        <v>226</v>
      </c>
      <c r="B227" s="83" t="b">
        <f>IF(ISBLANK(Requirements!C231),TRUE,VLOOKUP(Requirements!C231,Scens_With_All_Data,5,FALSE))</f>
        <v>1</v>
      </c>
    </row>
    <row r="228" spans="1:2" x14ac:dyDescent="0.3">
      <c r="A228" s="87">
        <f t="shared" si="5"/>
        <v>227</v>
      </c>
      <c r="B228" s="83" t="b">
        <f>IF(ISBLANK(Requirements!C232),TRUE,VLOOKUP(Requirements!C232,Scens_With_All_Data,5,FALSE))</f>
        <v>1</v>
      </c>
    </row>
    <row r="229" spans="1:2" x14ac:dyDescent="0.3">
      <c r="A229" s="87">
        <f t="shared" si="5"/>
        <v>228</v>
      </c>
      <c r="B229" s="83" t="b">
        <f>IF(ISBLANK(Requirements!C233),TRUE,VLOOKUP(Requirements!C233,Scens_With_All_Data,5,FALSE))</f>
        <v>1</v>
      </c>
    </row>
    <row r="230" spans="1:2" x14ac:dyDescent="0.3">
      <c r="A230" s="87">
        <f t="shared" si="5"/>
        <v>229</v>
      </c>
      <c r="B230" s="83" t="b">
        <f>IF(ISBLANK(Requirements!C234),TRUE,VLOOKUP(Requirements!C234,Scens_With_All_Data,5,FALSE))</f>
        <v>1</v>
      </c>
    </row>
    <row r="231" spans="1:2" x14ac:dyDescent="0.3">
      <c r="A231" s="87">
        <f t="shared" si="5"/>
        <v>230</v>
      </c>
      <c r="B231" s="83" t="b">
        <f>IF(ISBLANK(Requirements!C235),TRUE,VLOOKUP(Requirements!C235,Scens_With_All_Data,5,FALSE))</f>
        <v>1</v>
      </c>
    </row>
    <row r="232" spans="1:2" x14ac:dyDescent="0.3">
      <c r="A232" s="87">
        <f t="shared" si="5"/>
        <v>231</v>
      </c>
      <c r="B232" s="83" t="b">
        <f>IF(ISBLANK(Requirements!C236),TRUE,VLOOKUP(Requirements!C236,Scens_With_All_Data,5,FALSE))</f>
        <v>1</v>
      </c>
    </row>
    <row r="233" spans="1:2" x14ac:dyDescent="0.3">
      <c r="A233" s="87">
        <f t="shared" si="5"/>
        <v>232</v>
      </c>
      <c r="B233" s="83" t="b">
        <f>IF(ISBLANK(Requirements!C237),TRUE,VLOOKUP(Requirements!C237,Scens_With_All_Data,5,FALSE))</f>
        <v>1</v>
      </c>
    </row>
    <row r="234" spans="1:2" x14ac:dyDescent="0.3">
      <c r="A234" s="87">
        <f t="shared" si="5"/>
        <v>233</v>
      </c>
      <c r="B234" s="83" t="b">
        <f>IF(ISBLANK(Requirements!C238),TRUE,VLOOKUP(Requirements!C238,Scens_With_All_Data,5,FALSE))</f>
        <v>1</v>
      </c>
    </row>
    <row r="235" spans="1:2" x14ac:dyDescent="0.3">
      <c r="A235" s="87">
        <f t="shared" si="5"/>
        <v>234</v>
      </c>
      <c r="B235" s="83" t="b">
        <f>IF(ISBLANK(Requirements!C239),TRUE,VLOOKUP(Requirements!C239,Scens_With_All_Data,5,FALSE))</f>
        <v>1</v>
      </c>
    </row>
    <row r="236" spans="1:2" x14ac:dyDescent="0.3">
      <c r="A236" s="87">
        <f t="shared" si="5"/>
        <v>235</v>
      </c>
      <c r="B236" s="83" t="b">
        <f>IF(ISBLANK(Requirements!C240),TRUE,VLOOKUP(Requirements!C240,Scens_With_All_Data,5,FALSE))</f>
        <v>1</v>
      </c>
    </row>
    <row r="237" spans="1:2" x14ac:dyDescent="0.3">
      <c r="A237" s="87">
        <f t="shared" si="5"/>
        <v>236</v>
      </c>
      <c r="B237" s="83" t="b">
        <f>IF(ISBLANK(Requirements!C241),TRUE,VLOOKUP(Requirements!C241,Scens_With_All_Data,5,FALSE))</f>
        <v>1</v>
      </c>
    </row>
    <row r="238" spans="1:2" x14ac:dyDescent="0.3">
      <c r="A238" s="87">
        <f t="shared" si="5"/>
        <v>237</v>
      </c>
      <c r="B238" s="83" t="b">
        <f>IF(ISBLANK(Requirements!C242),TRUE,VLOOKUP(Requirements!C242,Scens_With_All_Data,5,FALSE))</f>
        <v>1</v>
      </c>
    </row>
    <row r="239" spans="1:2" x14ac:dyDescent="0.3">
      <c r="A239" s="87">
        <f t="shared" si="5"/>
        <v>238</v>
      </c>
      <c r="B239" s="83" t="b">
        <f>IF(ISBLANK(Requirements!C243),TRUE,VLOOKUP(Requirements!C243,Scens_With_All_Data,5,FALSE))</f>
        <v>1</v>
      </c>
    </row>
    <row r="240" spans="1:2" x14ac:dyDescent="0.3">
      <c r="A240" s="87">
        <f t="shared" si="5"/>
        <v>239</v>
      </c>
      <c r="B240" s="83" t="b">
        <f>IF(ISBLANK(Requirements!C244),TRUE,VLOOKUP(Requirements!C244,Scens_With_All_Data,5,FALSE))</f>
        <v>1</v>
      </c>
    </row>
    <row r="241" spans="1:2" x14ac:dyDescent="0.3">
      <c r="A241" s="87">
        <f t="shared" si="5"/>
        <v>240</v>
      </c>
      <c r="B241" s="83" t="b">
        <f>IF(ISBLANK(Requirements!C245),TRUE,VLOOKUP(Requirements!C245,Scens_With_All_Data,5,FALSE))</f>
        <v>1</v>
      </c>
    </row>
    <row r="242" spans="1:2" x14ac:dyDescent="0.3">
      <c r="A242" s="87">
        <f t="shared" si="5"/>
        <v>241</v>
      </c>
      <c r="B242" s="83" t="b">
        <f>IF(ISBLANK(Requirements!C246),TRUE,VLOOKUP(Requirements!C246,Scens_With_All_Data,5,FALSE))</f>
        <v>1</v>
      </c>
    </row>
    <row r="243" spans="1:2" x14ac:dyDescent="0.3">
      <c r="A243" s="87">
        <f t="shared" si="5"/>
        <v>242</v>
      </c>
      <c r="B243" s="83" t="b">
        <f>IF(ISBLANK(Requirements!C247),TRUE,VLOOKUP(Requirements!C247,Scens_With_All_Data,5,FALSE))</f>
        <v>1</v>
      </c>
    </row>
    <row r="244" spans="1:2" x14ac:dyDescent="0.3">
      <c r="A244" s="87">
        <f t="shared" si="5"/>
        <v>243</v>
      </c>
      <c r="B244" s="83" t="b">
        <f>IF(ISBLANK(Requirements!C248),TRUE,VLOOKUP(Requirements!C248,Scens_With_All_Data,5,FALSE))</f>
        <v>1</v>
      </c>
    </row>
    <row r="245" spans="1:2" x14ac:dyDescent="0.3">
      <c r="A245" s="87">
        <f t="shared" si="5"/>
        <v>244</v>
      </c>
      <c r="B245" s="83" t="b">
        <f>IF(ISBLANK(Requirements!C249),TRUE,VLOOKUP(Requirements!C249,Scens_With_All_Data,5,FALSE))</f>
        <v>1</v>
      </c>
    </row>
    <row r="246" spans="1:2" x14ac:dyDescent="0.3">
      <c r="A246" s="87">
        <f t="shared" si="5"/>
        <v>245</v>
      </c>
      <c r="B246" s="83" t="b">
        <f>IF(ISBLANK(Requirements!C250),TRUE,VLOOKUP(Requirements!C250,Scens_With_All_Data,5,FALSE))</f>
        <v>1</v>
      </c>
    </row>
    <row r="247" spans="1:2" x14ac:dyDescent="0.3">
      <c r="A247" s="87">
        <f t="shared" si="5"/>
        <v>246</v>
      </c>
      <c r="B247" s="83" t="b">
        <f>IF(ISBLANK(Requirements!C251),TRUE,VLOOKUP(Requirements!C251,Scens_With_All_Data,5,FALSE))</f>
        <v>1</v>
      </c>
    </row>
    <row r="248" spans="1:2" x14ac:dyDescent="0.3">
      <c r="A248" s="87">
        <f t="shared" si="5"/>
        <v>247</v>
      </c>
      <c r="B248" s="83" t="b">
        <f>IF(ISBLANK(Requirements!C252),TRUE,VLOOKUP(Requirements!C252,Scens_With_All_Data,5,FALSE))</f>
        <v>1</v>
      </c>
    </row>
    <row r="249" spans="1:2" x14ac:dyDescent="0.3">
      <c r="A249" s="87">
        <f t="shared" si="5"/>
        <v>248</v>
      </c>
      <c r="B249" s="83" t="b">
        <f>IF(ISBLANK(Requirements!C253),TRUE,VLOOKUP(Requirements!C253,Scens_With_All_Data,5,FALSE))</f>
        <v>1</v>
      </c>
    </row>
    <row r="250" spans="1:2" x14ac:dyDescent="0.3">
      <c r="A250" s="87">
        <f t="shared" si="5"/>
        <v>249</v>
      </c>
      <c r="B250" s="83" t="b">
        <f>IF(ISBLANK(Requirements!C254),TRUE,VLOOKUP(Requirements!C254,Scens_With_All_Data,5,FALSE))</f>
        <v>1</v>
      </c>
    </row>
    <row r="251" spans="1:2" x14ac:dyDescent="0.3">
      <c r="A251" s="87">
        <f t="shared" si="5"/>
        <v>250</v>
      </c>
      <c r="B251" s="83" t="b">
        <f>IF(ISBLANK(Requirements!C255),TRUE,VLOOKUP(Requirements!C255,Scens_With_All_Data,5,FALSE))</f>
        <v>1</v>
      </c>
    </row>
    <row r="252" spans="1:2" x14ac:dyDescent="0.3">
      <c r="A252" s="87">
        <f t="shared" si="5"/>
        <v>251</v>
      </c>
      <c r="B252" s="83" t="b">
        <f>IF(ISBLANK(Requirements!C256),TRUE,VLOOKUP(Requirements!C256,Scens_With_All_Data,5,FALSE))</f>
        <v>1</v>
      </c>
    </row>
    <row r="253" spans="1:2" x14ac:dyDescent="0.3">
      <c r="A253" s="87">
        <f t="shared" si="5"/>
        <v>252</v>
      </c>
      <c r="B253" s="83" t="b">
        <f>IF(ISBLANK(Requirements!C257),TRUE,VLOOKUP(Requirements!C257,Scens_With_All_Data,5,FALSE))</f>
        <v>1</v>
      </c>
    </row>
    <row r="254" spans="1:2" x14ac:dyDescent="0.3">
      <c r="A254" s="87">
        <f t="shared" si="5"/>
        <v>253</v>
      </c>
      <c r="B254" s="83" t="b">
        <f>IF(ISBLANK(Requirements!C258),TRUE,VLOOKUP(Requirements!C258,Scens_With_All_Data,5,FALSE))</f>
        <v>1</v>
      </c>
    </row>
    <row r="255" spans="1:2" x14ac:dyDescent="0.3">
      <c r="A255" s="87">
        <f t="shared" si="5"/>
        <v>254</v>
      </c>
      <c r="B255" s="83" t="b">
        <f>IF(ISBLANK(Requirements!C259),TRUE,VLOOKUP(Requirements!C259,Scens_With_All_Data,5,FALSE))</f>
        <v>1</v>
      </c>
    </row>
    <row r="256" spans="1:2" x14ac:dyDescent="0.3">
      <c r="A256" s="87">
        <f t="shared" si="5"/>
        <v>255</v>
      </c>
      <c r="B256" s="83" t="b">
        <f>IF(ISBLANK(Requirements!C260),TRUE,VLOOKUP(Requirements!C260,Scens_With_All_Data,5,FALSE))</f>
        <v>1</v>
      </c>
    </row>
    <row r="257" spans="1:2" x14ac:dyDescent="0.3">
      <c r="A257" s="87">
        <f t="shared" si="5"/>
        <v>256</v>
      </c>
      <c r="B257" s="83" t="b">
        <f>IF(ISBLANK(Requirements!C261),TRUE,VLOOKUP(Requirements!C261,Scens_With_All_Data,5,FALSE))</f>
        <v>1</v>
      </c>
    </row>
    <row r="258" spans="1:2" x14ac:dyDescent="0.3">
      <c r="A258" s="87">
        <f t="shared" si="5"/>
        <v>257</v>
      </c>
      <c r="B258" s="83" t="b">
        <f>IF(ISBLANK(Requirements!C262),TRUE,VLOOKUP(Requirements!C262,Scens_With_All_Data,5,FALSE))</f>
        <v>1</v>
      </c>
    </row>
    <row r="259" spans="1:2" x14ac:dyDescent="0.3">
      <c r="A259" s="87">
        <f t="shared" ref="A259:A263" si="6">ROW()-1</f>
        <v>258</v>
      </c>
      <c r="B259" s="83" t="b">
        <f>IF(ISBLANK(Requirements!C263),TRUE,VLOOKUP(Requirements!C263,Scens_With_All_Data,5,FALSE))</f>
        <v>1</v>
      </c>
    </row>
    <row r="260" spans="1:2" x14ac:dyDescent="0.3">
      <c r="A260" s="87">
        <f t="shared" si="6"/>
        <v>259</v>
      </c>
      <c r="B260" s="83" t="b">
        <f>IF(ISBLANK(Requirements!C264),TRUE,VLOOKUP(Requirements!C264,Scens_With_All_Data,5,FALSE))</f>
        <v>1</v>
      </c>
    </row>
    <row r="261" spans="1:2" x14ac:dyDescent="0.3">
      <c r="A261" s="87">
        <f t="shared" si="6"/>
        <v>260</v>
      </c>
      <c r="B261" s="83" t="b">
        <f>IF(ISBLANK(Requirements!C265),TRUE,VLOOKUP(Requirements!C265,Scens_With_All_Data,5,FALSE))</f>
        <v>1</v>
      </c>
    </row>
    <row r="262" spans="1:2" x14ac:dyDescent="0.3">
      <c r="A262" s="87">
        <f t="shared" si="6"/>
        <v>261</v>
      </c>
      <c r="B262" s="83" t="b">
        <f>IF(ISBLANK(Requirements!C266),TRUE,VLOOKUP(Requirements!C266,Scens_With_All_Data,5,FALSE))</f>
        <v>1</v>
      </c>
    </row>
    <row r="263" spans="1:2" x14ac:dyDescent="0.3">
      <c r="A263" s="87">
        <f t="shared" si="6"/>
        <v>262</v>
      </c>
      <c r="B263" s="83" t="b">
        <f>IF(ISBLANK(Requirements!C267),TRUE,VLOOKUP(Requirements!C267,Scens_With_All_Data,5,FALSE))</f>
        <v>1</v>
      </c>
    </row>
  </sheetData>
  <sheetProtection selectLockedCells="1" selectUnlockedCells="1"/>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0" tint="-0.499984740745262"/>
  </sheetPr>
  <dimension ref="A1:AE18"/>
  <sheetViews>
    <sheetView topLeftCell="N1" zoomScaleNormal="100" workbookViewId="0">
      <selection activeCell="Z15" sqref="Z15"/>
    </sheetView>
  </sheetViews>
  <sheetFormatPr baseColWidth="10" defaultRowHeight="14.4" x14ac:dyDescent="0.3"/>
  <cols>
    <col min="1" max="1" width="6.44140625" style="1" customWidth="1"/>
    <col min="2" max="2" width="17.21875" style="1" customWidth="1"/>
    <col min="3" max="3" width="10.6640625" style="1" customWidth="1"/>
    <col min="4" max="5" width="11.5546875" style="7"/>
    <col min="6" max="6" width="8.5546875" style="7" customWidth="1"/>
    <col min="7" max="7" width="66.88671875" style="1" customWidth="1"/>
    <col min="8" max="8" width="11.5546875" style="1"/>
    <col min="9" max="9" width="14.44140625" style="1" customWidth="1"/>
    <col min="10" max="21" width="11.5546875" style="1"/>
    <col min="22" max="31" width="11.44140625" style="1" customWidth="1"/>
    <col min="32" max="16384" width="11.5546875" style="1"/>
  </cols>
  <sheetData>
    <row r="1" spans="1:31" ht="28.8" customHeight="1" x14ac:dyDescent="0.3">
      <c r="A1" s="152" t="s">
        <v>13</v>
      </c>
      <c r="B1" s="152"/>
      <c r="C1" s="31"/>
      <c r="D1" s="153" t="s">
        <v>117</v>
      </c>
      <c r="E1" s="154"/>
      <c r="F1" s="154"/>
      <c r="G1" s="154"/>
      <c r="H1" s="154"/>
      <c r="I1" s="55" t="s">
        <v>212</v>
      </c>
      <c r="J1" s="56"/>
      <c r="K1" s="56"/>
      <c r="L1" s="155" t="s">
        <v>237</v>
      </c>
      <c r="M1" s="155"/>
      <c r="N1" s="92"/>
      <c r="O1" s="155" t="s">
        <v>238</v>
      </c>
      <c r="P1" s="155"/>
      <c r="V1" s="114" t="s">
        <v>2</v>
      </c>
      <c r="W1" s="115" t="s">
        <v>0</v>
      </c>
      <c r="X1" s="115" t="s">
        <v>1</v>
      </c>
      <c r="Y1" s="115" t="s">
        <v>5</v>
      </c>
      <c r="Z1" s="115" t="s">
        <v>4</v>
      </c>
      <c r="AA1" s="115" t="s">
        <v>3</v>
      </c>
      <c r="AB1" s="115" t="s">
        <v>6</v>
      </c>
      <c r="AC1" s="115" t="s">
        <v>71</v>
      </c>
      <c r="AD1" s="115" t="s">
        <v>7</v>
      </c>
      <c r="AE1" s="116" t="s">
        <v>8</v>
      </c>
    </row>
    <row r="2" spans="1:31" ht="15" thickBot="1" x14ac:dyDescent="0.35">
      <c r="A2" s="9" t="s">
        <v>44</v>
      </c>
      <c r="B2" s="9" t="s">
        <v>45</v>
      </c>
      <c r="D2" s="22" t="s">
        <v>103</v>
      </c>
      <c r="E2" s="22" t="s">
        <v>102</v>
      </c>
      <c r="F2" s="22" t="s">
        <v>106</v>
      </c>
      <c r="G2" s="21" t="s">
        <v>104</v>
      </c>
      <c r="I2" s="1" t="s">
        <v>103</v>
      </c>
      <c r="L2" s="79" t="s">
        <v>282</v>
      </c>
      <c r="M2" s="79" t="s">
        <v>283</v>
      </c>
      <c r="N2" s="79" t="s">
        <v>284</v>
      </c>
      <c r="O2" s="80" t="s">
        <v>285</v>
      </c>
      <c r="P2" s="79" t="s">
        <v>286</v>
      </c>
      <c r="Q2" s="78"/>
      <c r="R2" s="78" t="s">
        <v>236</v>
      </c>
      <c r="S2"/>
      <c r="T2"/>
      <c r="V2" s="111" t="b">
        <v>1</v>
      </c>
      <c r="W2" s="112" t="b">
        <v>1</v>
      </c>
      <c r="X2" s="112" t="b">
        <v>1</v>
      </c>
      <c r="Y2" s="112" t="b">
        <v>1</v>
      </c>
      <c r="Z2" s="112" t="b">
        <v>1</v>
      </c>
      <c r="AA2" s="112" t="b">
        <v>1</v>
      </c>
      <c r="AB2" s="112" t="b">
        <v>1</v>
      </c>
      <c r="AC2" s="112" t="b">
        <v>1</v>
      </c>
      <c r="AD2" s="112" t="b">
        <v>1</v>
      </c>
      <c r="AE2" s="113" t="b">
        <v>1</v>
      </c>
    </row>
    <row r="3" spans="1:31" ht="15" thickTop="1" x14ac:dyDescent="0.3">
      <c r="A3" s="1" t="s">
        <v>12</v>
      </c>
      <c r="B3" s="1" t="s">
        <v>11</v>
      </c>
      <c r="D3" s="7">
        <v>-2</v>
      </c>
      <c r="E3" s="7">
        <v>-2</v>
      </c>
      <c r="F3" s="7">
        <f>QUOTIENT(D3,2)+D3+E3+6</f>
        <v>1</v>
      </c>
      <c r="G3" s="1" t="s">
        <v>111</v>
      </c>
      <c r="I3" s="1" t="s">
        <v>102</v>
      </c>
      <c r="L3" s="66"/>
      <c r="M3" s="66"/>
      <c r="N3" s="66"/>
      <c r="O3" s="81"/>
      <c r="P3" s="66"/>
      <c r="Q3"/>
      <c r="R3" t="b">
        <v>1</v>
      </c>
      <c r="S3"/>
      <c r="T3" t="s">
        <v>233</v>
      </c>
    </row>
    <row r="4" spans="1:31" x14ac:dyDescent="0.3">
      <c r="A4" s="1" t="s">
        <v>14</v>
      </c>
      <c r="B4" s="1" t="s">
        <v>15</v>
      </c>
      <c r="D4" s="7">
        <v>-2</v>
      </c>
      <c r="E4" s="7">
        <v>-1</v>
      </c>
      <c r="F4" s="7">
        <f t="shared" ref="F4:F13" si="0">QUOTIENT(D4,2)+D4+E4+6</f>
        <v>2</v>
      </c>
      <c r="G4" s="1" t="s">
        <v>108</v>
      </c>
      <c r="L4" s="66" t="s">
        <v>280</v>
      </c>
      <c r="M4" s="66"/>
      <c r="N4" s="66"/>
      <c r="O4" s="81"/>
      <c r="P4" s="66"/>
      <c r="Q4"/>
      <c r="R4" t="b">
        <v>1</v>
      </c>
      <c r="S4"/>
      <c r="T4" t="s">
        <v>234</v>
      </c>
    </row>
    <row r="5" spans="1:31" x14ac:dyDescent="0.3">
      <c r="A5" s="1" t="s">
        <v>16</v>
      </c>
      <c r="B5" s="1" t="s">
        <v>17</v>
      </c>
      <c r="D5" s="7">
        <v>-2</v>
      </c>
      <c r="E5" s="7">
        <v>0</v>
      </c>
      <c r="F5" s="7">
        <f t="shared" si="0"/>
        <v>3</v>
      </c>
      <c r="G5" s="1" t="s">
        <v>110</v>
      </c>
      <c r="L5" s="66"/>
      <c r="M5" s="66" t="s">
        <v>280</v>
      </c>
      <c r="N5" s="66"/>
      <c r="O5" s="81"/>
      <c r="P5" s="66"/>
      <c r="Q5"/>
      <c r="R5" t="b">
        <v>1</v>
      </c>
      <c r="S5"/>
      <c r="T5" t="s">
        <v>235</v>
      </c>
    </row>
    <row r="6" spans="1:31" x14ac:dyDescent="0.3">
      <c r="A6" s="1" t="s">
        <v>18</v>
      </c>
      <c r="B6" s="1" t="s">
        <v>19</v>
      </c>
      <c r="D6" s="7">
        <v>-1</v>
      </c>
      <c r="E6" s="7">
        <v>-1</v>
      </c>
      <c r="F6" s="7">
        <f t="shared" si="0"/>
        <v>4</v>
      </c>
      <c r="G6" s="1" t="s">
        <v>112</v>
      </c>
      <c r="L6" s="66"/>
      <c r="M6" s="66"/>
      <c r="N6" s="66" t="s">
        <v>280</v>
      </c>
      <c r="O6" s="81"/>
      <c r="P6" s="66"/>
      <c r="Q6"/>
      <c r="R6" t="b">
        <v>1</v>
      </c>
      <c r="S6"/>
      <c r="T6"/>
    </row>
    <row r="7" spans="1:31" x14ac:dyDescent="0.3">
      <c r="A7" s="1" t="s">
        <v>97</v>
      </c>
      <c r="B7" s="1" t="s">
        <v>96</v>
      </c>
      <c r="D7" s="7">
        <v>-1</v>
      </c>
      <c r="E7" s="7">
        <v>0</v>
      </c>
      <c r="F7" s="7">
        <f t="shared" si="0"/>
        <v>5</v>
      </c>
      <c r="G7" s="1" t="s">
        <v>109</v>
      </c>
      <c r="L7" s="66" t="s">
        <v>280</v>
      </c>
      <c r="M7" s="66" t="s">
        <v>281</v>
      </c>
      <c r="N7" s="66"/>
      <c r="O7" s="81">
        <v>1</v>
      </c>
      <c r="P7" s="66"/>
      <c r="Q7"/>
      <c r="R7" t="b">
        <v>1</v>
      </c>
      <c r="S7"/>
      <c r="T7"/>
    </row>
    <row r="8" spans="1:31" x14ac:dyDescent="0.3">
      <c r="D8" s="7">
        <v>0</v>
      </c>
      <c r="E8" s="7">
        <v>0</v>
      </c>
      <c r="F8" s="7">
        <f t="shared" si="0"/>
        <v>6</v>
      </c>
      <c r="G8" s="1" t="s">
        <v>116</v>
      </c>
      <c r="L8" s="66" t="s">
        <v>280</v>
      </c>
      <c r="M8" s="66" t="s">
        <v>281</v>
      </c>
      <c r="N8" s="66" t="s">
        <v>287</v>
      </c>
      <c r="O8" s="81">
        <v>1</v>
      </c>
      <c r="P8" s="66"/>
      <c r="Q8"/>
      <c r="R8" t="b">
        <v>1</v>
      </c>
      <c r="S8"/>
      <c r="T8"/>
    </row>
    <row r="9" spans="1:31" ht="28.8" x14ac:dyDescent="0.3">
      <c r="D9" s="7">
        <v>1</v>
      </c>
      <c r="E9" s="7">
        <v>0</v>
      </c>
      <c r="F9" s="7">
        <f t="shared" si="0"/>
        <v>7</v>
      </c>
      <c r="G9" s="1" t="s">
        <v>113</v>
      </c>
      <c r="L9" s="66">
        <v>1</v>
      </c>
      <c r="M9" s="66">
        <v>2</v>
      </c>
      <c r="N9" s="66"/>
      <c r="O9" s="81"/>
      <c r="P9" s="66">
        <v>1</v>
      </c>
      <c r="Q9"/>
      <c r="R9" t="b">
        <v>1</v>
      </c>
      <c r="S9"/>
      <c r="T9"/>
    </row>
    <row r="10" spans="1:31" x14ac:dyDescent="0.3">
      <c r="D10" s="7">
        <v>1</v>
      </c>
      <c r="E10" s="7">
        <v>1</v>
      </c>
      <c r="F10" s="7">
        <f t="shared" si="0"/>
        <v>8</v>
      </c>
      <c r="G10" s="1" t="s">
        <v>107</v>
      </c>
      <c r="L10" s="66">
        <v>2</v>
      </c>
      <c r="M10" s="66">
        <v>1</v>
      </c>
      <c r="N10" s="66"/>
      <c r="O10" s="81"/>
      <c r="P10" s="66">
        <v>1</v>
      </c>
      <c r="Q10"/>
      <c r="R10" t="b">
        <v>1</v>
      </c>
      <c r="S10"/>
      <c r="T10"/>
    </row>
    <row r="11" spans="1:31" ht="28.8" x14ac:dyDescent="0.3">
      <c r="D11" s="7">
        <v>2</v>
      </c>
      <c r="E11" s="7">
        <v>0</v>
      </c>
      <c r="F11" s="7">
        <f t="shared" si="0"/>
        <v>9</v>
      </c>
      <c r="G11" s="1" t="s">
        <v>105</v>
      </c>
      <c r="L11" s="66">
        <v>1</v>
      </c>
      <c r="M11" s="66"/>
      <c r="N11" s="66"/>
      <c r="O11" s="81">
        <v>1</v>
      </c>
      <c r="P11" s="66">
        <v>2</v>
      </c>
      <c r="Q11"/>
      <c r="R11" s="82" t="b">
        <v>0</v>
      </c>
      <c r="S11"/>
      <c r="T11"/>
    </row>
    <row r="12" spans="1:31" x14ac:dyDescent="0.3">
      <c r="D12" s="7">
        <v>2</v>
      </c>
      <c r="E12" s="7">
        <v>1</v>
      </c>
      <c r="F12" s="7">
        <f t="shared" si="0"/>
        <v>10</v>
      </c>
      <c r="G12" s="1" t="s">
        <v>114</v>
      </c>
      <c r="L12" s="66"/>
      <c r="M12" s="66">
        <v>1</v>
      </c>
      <c r="N12" s="66"/>
      <c r="O12" s="81">
        <v>2</v>
      </c>
      <c r="P12" s="66">
        <v>1</v>
      </c>
      <c r="Q12"/>
      <c r="R12" s="82" t="b">
        <v>0</v>
      </c>
      <c r="S12"/>
      <c r="T12"/>
    </row>
    <row r="13" spans="1:31" x14ac:dyDescent="0.3">
      <c r="D13" s="7">
        <v>2</v>
      </c>
      <c r="E13" s="7">
        <v>2</v>
      </c>
      <c r="F13" s="7">
        <f t="shared" si="0"/>
        <v>11</v>
      </c>
      <c r="G13" s="1" t="s">
        <v>115</v>
      </c>
      <c r="L13" s="66"/>
      <c r="M13" s="66"/>
      <c r="N13" s="66"/>
      <c r="O13" s="81">
        <v>1</v>
      </c>
      <c r="P13" s="66">
        <v>2</v>
      </c>
      <c r="Q13"/>
      <c r="R13" s="82" t="b">
        <v>0</v>
      </c>
      <c r="S13"/>
      <c r="T13"/>
    </row>
    <row r="14" spans="1:31" x14ac:dyDescent="0.3">
      <c r="L14" s="66"/>
      <c r="M14" s="66"/>
      <c r="N14" s="66"/>
      <c r="O14" s="81">
        <v>2</v>
      </c>
      <c r="P14" s="66">
        <v>1</v>
      </c>
      <c r="Q14"/>
      <c r="R14" s="82" t="b">
        <v>0</v>
      </c>
      <c r="S14"/>
      <c r="T14"/>
    </row>
    <row r="15" spans="1:31" x14ac:dyDescent="0.3">
      <c r="L15" s="66">
        <v>1</v>
      </c>
      <c r="M15" s="66">
        <v>2</v>
      </c>
      <c r="N15" s="66"/>
      <c r="O15" s="81">
        <v>1</v>
      </c>
      <c r="P15" s="66">
        <v>2</v>
      </c>
      <c r="Q15"/>
      <c r="R15" t="b">
        <v>1</v>
      </c>
      <c r="S15"/>
      <c r="T15"/>
    </row>
    <row r="16" spans="1:31" x14ac:dyDescent="0.3">
      <c r="L16" s="66">
        <v>1</v>
      </c>
      <c r="M16" s="66">
        <v>2</v>
      </c>
      <c r="N16" s="66"/>
      <c r="O16" s="81">
        <v>2</v>
      </c>
      <c r="P16" s="66">
        <v>1</v>
      </c>
      <c r="Q16"/>
      <c r="R16" t="b">
        <v>1</v>
      </c>
      <c r="S16"/>
      <c r="T16"/>
    </row>
    <row r="17" spans="12:20" x14ac:dyDescent="0.3">
      <c r="L17" s="66">
        <v>1</v>
      </c>
      <c r="M17" s="66">
        <v>2</v>
      </c>
      <c r="N17" s="66"/>
      <c r="O17" s="81">
        <v>1</v>
      </c>
      <c r="P17" s="66">
        <v>3</v>
      </c>
      <c r="Q17"/>
      <c r="R17" s="82" t="b">
        <v>0</v>
      </c>
      <c r="S17"/>
      <c r="T17"/>
    </row>
    <row r="18" spans="12:20" x14ac:dyDescent="0.3">
      <c r="L18" s="66">
        <v>1</v>
      </c>
      <c r="M18" s="66">
        <v>2</v>
      </c>
      <c r="N18" s="66"/>
      <c r="O18" s="81">
        <v>3</v>
      </c>
      <c r="P18" s="66">
        <v>1</v>
      </c>
      <c r="Q18"/>
      <c r="R18" s="82" t="b">
        <v>0</v>
      </c>
      <c r="S18"/>
      <c r="T18"/>
    </row>
  </sheetData>
  <sheetProtection selectLockedCells="1" selectUnlockedCells="1"/>
  <mergeCells count="4">
    <mergeCell ref="A1:B1"/>
    <mergeCell ref="D1:H1"/>
    <mergeCell ref="L1:M1"/>
    <mergeCell ref="O1:P1"/>
  </mergeCells>
  <conditionalFormatting sqref="L3:P16">
    <cfRule type="colorScale" priority="6">
      <colorScale>
        <cfvo type="min"/>
        <cfvo type="percentile" val="50"/>
        <cfvo type="max"/>
        <color rgb="FFF8696B"/>
        <color rgb="FFFCFCFF"/>
        <color rgb="FF5A8AC6"/>
      </colorScale>
    </cfRule>
  </conditionalFormatting>
  <conditionalFormatting sqref="L17:N17">
    <cfRule type="colorScale" priority="5">
      <colorScale>
        <cfvo type="min"/>
        <cfvo type="percentile" val="50"/>
        <cfvo type="max"/>
        <color rgb="FFF8696B"/>
        <color rgb="FFFCFCFF"/>
        <color rgb="FF5A8AC6"/>
      </colorScale>
    </cfRule>
  </conditionalFormatting>
  <conditionalFormatting sqref="O17:P17">
    <cfRule type="colorScale" priority="4">
      <colorScale>
        <cfvo type="min"/>
        <cfvo type="percentile" val="50"/>
        <cfvo type="max"/>
        <color rgb="FFF8696B"/>
        <color rgb="FFFCFCFF"/>
        <color rgb="FF5A8AC6"/>
      </colorScale>
    </cfRule>
  </conditionalFormatting>
  <conditionalFormatting sqref="O18:P18">
    <cfRule type="colorScale" priority="3">
      <colorScale>
        <cfvo type="min"/>
        <cfvo type="percentile" val="50"/>
        <cfvo type="max"/>
        <color rgb="FFF8696B"/>
        <color rgb="FFFCFCFF"/>
        <color rgb="FF5A8AC6"/>
      </colorScale>
    </cfRule>
  </conditionalFormatting>
  <conditionalFormatting sqref="L18:N18">
    <cfRule type="colorScale" priority="2">
      <colorScale>
        <cfvo type="min"/>
        <cfvo type="percentile" val="50"/>
        <cfvo type="max"/>
        <color rgb="FFF8696B"/>
        <color rgb="FFFCFCFF"/>
        <color rgb="FF5A8AC6"/>
      </colorScale>
    </cfRule>
  </conditionalFormatting>
  <conditionalFormatting sqref="L3:P18">
    <cfRule type="colorScale" priority="1">
      <colorScale>
        <cfvo type="min"/>
        <cfvo type="percentile" val="50"/>
        <cfvo type="max"/>
        <color rgb="FFF8696B"/>
        <color rgb="FFFCFCFF"/>
        <color rgb="FF5A8AC6"/>
      </colorScale>
    </cfRule>
  </conditionalFormatting>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27</vt:i4>
      </vt:variant>
    </vt:vector>
  </HeadingPairs>
  <TitlesOfParts>
    <vt:vector size="39" baseType="lpstr">
      <vt:lpstr>Stakeholders</vt:lpstr>
      <vt:lpstr>Goals &amp; Risks</vt:lpstr>
      <vt:lpstr>Requirements</vt:lpstr>
      <vt:lpstr>Dashboard</vt:lpstr>
      <vt:lpstr>Epics</vt:lpstr>
      <vt:lpstr>Who does what</vt:lpstr>
      <vt:lpstr>_Dimensions</vt:lpstr>
      <vt:lpstr>_Effects</vt:lpstr>
      <vt:lpstr>_Scenarios</vt:lpstr>
      <vt:lpstr>_Domains</vt:lpstr>
      <vt:lpstr>_GRREQ</vt:lpstr>
      <vt:lpstr>_Param</vt:lpstr>
      <vt:lpstr>_GRREQ</vt:lpstr>
      <vt:lpstr>_GRREQ_Scen_Match</vt:lpstr>
      <vt:lpstr>Abbreviations</vt:lpstr>
      <vt:lpstr>CompTypes</vt:lpstr>
      <vt:lpstr>CompTypes_and_Explanation</vt:lpstr>
      <vt:lpstr>Dimensions</vt:lpstr>
      <vt:lpstr>Dimensions_Shown</vt:lpstr>
      <vt:lpstr>Dims_And_Explanation</vt:lpstr>
      <vt:lpstr>Display</vt:lpstr>
      <vt:lpstr>Domains</vt:lpstr>
      <vt:lpstr>GR_Actual_Degrees</vt:lpstr>
      <vt:lpstr>GR_Affected_Stakeholders</vt:lpstr>
      <vt:lpstr>GR_All</vt:lpstr>
      <vt:lpstr>GR_Dims_System_might_affect</vt:lpstr>
      <vt:lpstr>GR_IDs</vt:lpstr>
      <vt:lpstr>Realization_Explanation</vt:lpstr>
      <vt:lpstr>Req_IDs</vt:lpstr>
      <vt:lpstr>Reqs_and_Explanation</vt:lpstr>
      <vt:lpstr>Scen1</vt:lpstr>
      <vt:lpstr>Scen2</vt:lpstr>
      <vt:lpstr>Scen3</vt:lpstr>
      <vt:lpstr>Scen4</vt:lpstr>
      <vt:lpstr>Scen5</vt:lpstr>
      <vt:lpstr>Scen6</vt:lpstr>
      <vt:lpstr>Scenarios</vt:lpstr>
      <vt:lpstr>Scens_With_All_Data</vt:lpstr>
      <vt:lpstr>Stakeholders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2020-05-22T17:00:53Z</dcterms:modified>
</cp:coreProperties>
</file>